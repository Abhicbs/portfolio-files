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8_{B2741698-F764-462A-8B69-D7CD1DBDE9CF}" xr6:coauthVersionLast="47" xr6:coauthVersionMax="47" xr10:uidLastSave="{00000000-0000-0000-0000-000000000000}"/>
  <bookViews>
    <workbookView xWindow="-108" yWindow="-108" windowWidth="23256" windowHeight="13896" xr2:uid="{CB1D2757-2D66-4EF9-A0DC-52B6C50F9911}"/>
  </bookViews>
  <sheets>
    <sheet name="Cover" sheetId="1" r:id="rId1"/>
    <sheet name="Assumptions" sheetId="2" r:id="rId2"/>
    <sheet name="Market Sizing" sheetId="3" r:id="rId3"/>
    <sheet name="Competitive Landscape" sheetId="4" r:id="rId4"/>
    <sheet name="Product Profitability" sheetId="5" r:id="rId5"/>
    <sheet name="GTM &amp; City Prioritisation" sheetId="6" r:id="rId6"/>
    <sheet name="Unit Economics" sheetId="7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6" l="1"/>
  <c r="G25" i="6"/>
  <c r="A5" i="6"/>
  <c r="A4" i="5"/>
  <c r="A5" i="4"/>
  <c r="A5" i="3"/>
  <c r="E38" i="7"/>
  <c r="F38" i="7" s="1"/>
  <c r="F27" i="7"/>
  <c r="E23" i="7"/>
  <c r="F23" i="7" s="1"/>
  <c r="E24" i="7"/>
  <c r="F24" i="7" s="1"/>
  <c r="E16" i="7"/>
  <c r="E10" i="7"/>
  <c r="E9" i="7"/>
  <c r="J19" i="6"/>
  <c r="J18" i="6"/>
  <c r="J17" i="6"/>
  <c r="J16" i="6"/>
  <c r="J15" i="6"/>
  <c r="J14" i="6"/>
  <c r="J13" i="6"/>
  <c r="J12" i="6"/>
  <c r="J11" i="6"/>
  <c r="J10" i="6"/>
  <c r="G10" i="5"/>
  <c r="M10" i="5" s="1"/>
  <c r="N10" i="5" s="1"/>
  <c r="F14" i="5"/>
  <c r="G14" i="5" s="1"/>
  <c r="M14" i="5" s="1"/>
  <c r="N14" i="5" s="1"/>
  <c r="F18" i="5"/>
  <c r="G18" i="5" s="1"/>
  <c r="M18" i="5" s="1"/>
  <c r="N18" i="5" s="1"/>
  <c r="F10" i="5"/>
  <c r="F20" i="5"/>
  <c r="G20" i="5" s="1"/>
  <c r="M20" i="5" s="1"/>
  <c r="N20" i="5" s="1"/>
  <c r="F19" i="5"/>
  <c r="G19" i="5" s="1"/>
  <c r="M19" i="5" s="1"/>
  <c r="N19" i="5" s="1"/>
  <c r="F17" i="5"/>
  <c r="G17" i="5" s="1"/>
  <c r="M17" i="5" s="1"/>
  <c r="N17" i="5" s="1"/>
  <c r="F16" i="5"/>
  <c r="G16" i="5" s="1"/>
  <c r="M16" i="5" s="1"/>
  <c r="N16" i="5" s="1"/>
  <c r="F15" i="5"/>
  <c r="G15" i="5" s="1"/>
  <c r="M15" i="5" s="1"/>
  <c r="N15" i="5" s="1"/>
  <c r="F13" i="5"/>
  <c r="G13" i="5" s="1"/>
  <c r="M13" i="5" s="1"/>
  <c r="N13" i="5" s="1"/>
  <c r="F12" i="5"/>
  <c r="G12" i="5" s="1"/>
  <c r="M12" i="5" s="1"/>
  <c r="N12" i="5" s="1"/>
  <c r="F11" i="5"/>
  <c r="G11" i="5" s="1"/>
  <c r="M11" i="5" s="1"/>
  <c r="N11" i="5" s="1"/>
  <c r="F9" i="4"/>
  <c r="E10" i="4"/>
  <c r="E9" i="4"/>
  <c r="G24" i="3"/>
  <c r="G25" i="3" s="1"/>
  <c r="H24" i="3"/>
  <c r="H25" i="3" s="1"/>
  <c r="I24" i="3"/>
  <c r="I25" i="3" s="1"/>
  <c r="J24" i="3"/>
  <c r="J25" i="3" s="1"/>
  <c r="F20" i="3"/>
  <c r="F22" i="3"/>
  <c r="F21" i="3"/>
  <c r="E10" i="3"/>
  <c r="E9" i="3"/>
  <c r="F9" i="3" s="1"/>
  <c r="G9" i="3" s="1"/>
  <c r="H9" i="3" s="1"/>
  <c r="I9" i="3" s="1"/>
  <c r="J9" i="3" s="1"/>
  <c r="E5" i="3"/>
  <c r="F5" i="3" s="1"/>
  <c r="G5" i="3" s="1"/>
  <c r="H5" i="3" s="1"/>
  <c r="I5" i="3" s="1"/>
  <c r="J5" i="3" s="1"/>
  <c r="E11" i="2"/>
  <c r="B16" i="1"/>
  <c r="B17" i="1" s="1"/>
  <c r="B18" i="1" s="1"/>
  <c r="B19" i="1" s="1"/>
  <c r="B20" i="1" s="1"/>
  <c r="F24" i="3" l="1"/>
  <c r="F25" i="3" s="1"/>
  <c r="E12" i="7"/>
  <c r="E28" i="7" s="1"/>
  <c r="F28" i="7" s="1"/>
  <c r="G11" i="3"/>
  <c r="G13" i="3" s="1"/>
  <c r="G15" i="3" s="1"/>
  <c r="F11" i="3"/>
  <c r="F13" i="3" s="1"/>
  <c r="F15" i="3" s="1"/>
  <c r="I11" i="3"/>
  <c r="I13" i="3" s="1"/>
  <c r="I15" i="3" s="1"/>
  <c r="J11" i="3"/>
  <c r="J13" i="3" s="1"/>
  <c r="J15" i="3" s="1"/>
  <c r="E11" i="3"/>
  <c r="E13" i="3" s="1"/>
  <c r="E15" i="3" s="1"/>
  <c r="H11" i="3"/>
  <c r="H13" i="3" s="1"/>
  <c r="H15" i="3" s="1"/>
  <c r="E17" i="7" l="1"/>
  <c r="F17" i="7" s="1"/>
  <c r="E26" i="7"/>
  <c r="F26" i="7" s="1"/>
  <c r="E25" i="7"/>
  <c r="F25" i="7" s="1"/>
  <c r="F12" i="7"/>
  <c r="G27" i="7" s="1"/>
  <c r="E18" i="7"/>
  <c r="G24" i="7"/>
  <c r="G26" i="7"/>
  <c r="G23" i="7"/>
  <c r="G28" i="7"/>
  <c r="F29" i="7"/>
  <c r="G29" i="7" s="1"/>
  <c r="E29" i="7" l="1"/>
  <c r="G25" i="7"/>
  <c r="F18" i="7"/>
  <c r="F33" i="7" s="1"/>
  <c r="E19" i="7"/>
  <c r="E33" i="7"/>
  <c r="E34" i="7" l="1"/>
  <c r="E39" i="7"/>
  <c r="E40" i="7" s="1"/>
  <c r="E41" i="7" s="1"/>
  <c r="F39" i="7"/>
  <c r="F3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</author>
    <author>Unknown Author</author>
  </authors>
  <commentList>
    <comment ref="E18" authorId="0" shapeId="0" xr:uid="{EE856274-AD52-4335-8A66-7FEAD3727553}">
      <text>
        <r>
          <rPr>
            <sz val="9"/>
            <color indexed="81"/>
            <rFont val="Tahoma"/>
            <family val="2"/>
          </rPr>
          <t xml:space="preserve">Starbucks India avg transaction ₹420-480 per Euromonitor 2023
</t>
        </r>
      </text>
    </comment>
    <comment ref="E19" authorId="1" shapeId="0" xr:uid="{1BAA9600-EF1D-4D43-8049-67AFE1090323}">
      <text>
        <r>
          <rPr>
            <sz val="10"/>
            <rFont val="Arial"/>
            <family val="2"/>
          </rPr>
          <t xml:space="preserve">ASSUMPTION: Setup cost ₹150L per metro store. Range is ₹100-200L. Varies by location (mall vs high-street).
</t>
        </r>
      </text>
    </comment>
    <comment ref="E20" authorId="0" shapeId="0" xr:uid="{5A11BAE5-1F38-4EC2-B3E9-593E33CC9EAD}">
      <text>
        <r>
          <rPr>
            <sz val="9"/>
            <color indexed="81"/>
            <rFont val="Tahoma"/>
            <family val="2"/>
          </rPr>
          <t xml:space="preserve">Positioned between CCD and Starbucks; affordable premium. Assumption flagged.
</t>
        </r>
      </text>
    </comment>
    <comment ref="E21" authorId="1" shapeId="0" xr:uid="{26D872BB-30B1-4536-BADE-6BC68FD1CEF9}">
      <text>
        <r>
          <rPr>
            <sz val="10"/>
            <rFont val="Arial"/>
            <family val="2"/>
          </rPr>
          <t>ASSUMPTION: Lease ₹300/sqft/mo for metro high-street. JLL Q3 2023 data shows ₹250-400 range. Mall anchors may negotiate 20-30% concession.</t>
        </r>
      </text>
    </comment>
    <comment ref="E22" authorId="0" shapeId="0" xr:uid="{78702004-C283-48F9-9549-5FC222601837}">
      <text>
        <r>
          <rPr>
            <sz val="9"/>
            <color indexed="81"/>
            <rFont val="Tahoma"/>
            <family val="2"/>
          </rPr>
          <t xml:space="preserve">Tim Hortons global: 38% transactions pre-11am; assumed similar for India
</t>
        </r>
      </text>
    </comment>
    <comment ref="E27" authorId="0" shapeId="0" xr:uid="{002E78C1-4606-4B8A-9870-F25760777B26}">
      <text>
        <r>
          <rPr>
            <sz val="9"/>
            <color indexed="81"/>
            <rFont val="Tahoma"/>
            <family val="2"/>
          </rPr>
          <t xml:space="preserve">Industry range ₹100-200L for branded café; mid estimate used.
</t>
        </r>
      </text>
    </comment>
    <comment ref="E28" authorId="0" shapeId="0" xr:uid="{495B6257-77E2-4554-BF73-34C79FB6057C}">
      <text>
        <r>
          <rPr>
            <sz val="9"/>
            <color indexed="81"/>
            <rFont val="Tahoma"/>
            <family val="2"/>
          </rPr>
          <t xml:space="preserve">RBI franchise agreements typically 5-6%
</t>
        </r>
      </text>
    </comment>
    <comment ref="E29" authorId="1" shapeId="0" xr:uid="{8C51874D-407F-4BCC-8D39-8008BF293B25}">
      <text>
        <r>
          <rPr>
            <sz val="10"/>
            <rFont val="Arial"/>
            <family val="2"/>
          </rPr>
          <t>ASSUMPTION: 220 customers/day Year 1. Based on comparable new Starbucks India outlet launch averages. Sensitive to location quality.</t>
        </r>
      </text>
    </comment>
    <comment ref="E30" authorId="0" shapeId="0" xr:uid="{390B4768-D7F4-4718-AC5F-FE10264508E8}">
      <text>
        <r>
          <rPr>
            <sz val="9"/>
            <color indexed="81"/>
            <rFont val="Tahoma"/>
            <family val="2"/>
          </rPr>
          <t>Tim Hortons global avg 1,100-1,300 sqft format</t>
        </r>
      </text>
    </comment>
    <comment ref="E31" authorId="0" shapeId="0" xr:uid="{80568B20-56FC-4D0D-AE24-D62386102BFA}">
      <text>
        <r>
          <rPr>
            <b/>
            <sz val="9"/>
            <color indexed="81"/>
            <rFont val="Tahoma"/>
            <family val="2"/>
          </rPr>
          <t>Abhishek:</t>
        </r>
        <r>
          <rPr>
            <sz val="9"/>
            <color indexed="81"/>
            <rFont val="Tahoma"/>
            <family val="2"/>
          </rPr>
          <t xml:space="preserve">
QSR India benchmark is about 10-14 FTEs for 1,200sqft; mid used</t>
        </r>
      </text>
    </comment>
    <comment ref="E35" authorId="1" shapeId="0" xr:uid="{EB1390FA-DA9E-4C32-BF83-F97BBEC1E2E8}">
      <text>
        <r>
          <rPr>
            <sz val="10"/>
            <rFont val="Arial"/>
            <family val="2"/>
          </rPr>
          <t>ASSUMPTION: 8 stores Phase 1. Conservative pilot approach. RBI may push for faster scale (15-20) but quality control risk rises.</t>
        </r>
      </text>
    </comment>
    <comment ref="E42" authorId="0" shapeId="0" xr:uid="{AE6F7FA3-755C-4358-89C7-9DA1B461C0AB}">
      <text>
        <r>
          <rPr>
            <sz val="9"/>
            <color indexed="81"/>
            <rFont val="Tahoma"/>
            <family val="2"/>
          </rPr>
          <t xml:space="preserve">Conservative: 8 pilots across 2 metros before scale.
</t>
        </r>
      </text>
    </comment>
    <comment ref="E44" authorId="0" shapeId="0" xr:uid="{DAA5FACE-839E-4A90-94B3-3E33842DF101}">
      <text>
        <r>
          <rPr>
            <sz val="9"/>
            <color indexed="81"/>
            <rFont val="Tahoma"/>
            <family val="2"/>
          </rPr>
          <t>Aggressive scale after Phase 1 proof; total 28 by end Y2</t>
        </r>
      </text>
    </comment>
    <comment ref="E49" authorId="1" shapeId="0" xr:uid="{AEA1A9F7-B741-41C3-9960-5ABC64CA325A}">
      <text>
        <r>
          <rPr>
            <sz val="10"/>
            <rFont val="Arial"/>
            <family val="2"/>
          </rPr>
          <t>ASSUMPTION: Timbits COGS 35%. Global data unavailable granularly; estimated from bakery-café category benchmarks.</t>
        </r>
      </text>
    </comment>
    <comment ref="E50" authorId="0" shapeId="0" xr:uid="{2E7DF86B-340E-4FF4-B415-CD1C4871FDFF}">
      <text>
        <r>
          <rPr>
            <sz val="9"/>
            <color indexed="81"/>
            <rFont val="Tahoma"/>
            <family val="2"/>
          </rPr>
          <t>From CCD Annual Report FY23</t>
        </r>
      </text>
    </comment>
    <comment ref="E51" authorId="0" shapeId="0" xr:uid="{749CB478-A3D7-448C-A001-87923183479D}">
      <text>
        <r>
          <rPr>
            <sz val="9"/>
            <color indexed="81"/>
            <rFont val="Tahoma"/>
            <family val="2"/>
          </rPr>
          <t>Tata Starbucks investor notes; avg ₹420-480.
Taken average</t>
        </r>
      </text>
    </comment>
    <comment ref="E56" authorId="0" shapeId="0" xr:uid="{16000EAB-34DE-4AB6-BD60-83ADC57E965D}">
      <text>
        <r>
          <rPr>
            <sz val="9"/>
            <color indexed="81"/>
            <rFont val="Tahoma"/>
            <family val="2"/>
          </rPr>
          <t>Drip/filter coffee globally lowest COGS in beverage category is about 25-29%</t>
        </r>
      </text>
    </comment>
    <comment ref="E59" authorId="0" shapeId="0" xr:uid="{0C32F4AE-F5A1-473D-9802-5EEA7A111001}">
      <text>
        <r>
          <rPr>
            <sz val="9"/>
            <color indexed="81"/>
            <rFont val="Tahoma"/>
            <family val="2"/>
          </rPr>
          <t>Cold drinks typically 3-6% higher margin than hot; industry standard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9" authorId="0" shapeId="0" xr:uid="{7E803908-E051-41D5-B12D-A9A21C332FB4}">
      <text>
        <r>
          <rPr>
            <sz val="10"/>
            <rFont val="Arial"/>
            <family val="2"/>
          </rPr>
          <t>Source: NRAI India Food Services Report 2023. Total F&amp;B market ₹90,000 Cr. Growing at ~9% CAGR. Ref: 1_Assumptions row 1.</t>
        </r>
      </text>
    </comment>
    <comment ref="E12" authorId="0" shapeId="0" xr:uid="{B354C90E-AAE5-4C01-ACAE-403EB32BEBE0}">
      <text>
        <r>
          <rPr>
            <sz val="10"/>
            <rFont val="Arial"/>
            <family val="2"/>
          </rPr>
          <t>ASSUMPTION: Organised café share starting 35% (2023), growing to 45% by 2028 as branded chains expand into Tier 2/3 cities.</t>
        </r>
      </text>
    </comment>
    <comment ref="E14" authorId="0" shapeId="0" xr:uid="{7FF59297-5DAD-43BC-B51E-B61F566C6A58}">
      <text>
        <r>
          <rPr>
            <sz val="10"/>
            <rFont val="Arial"/>
            <family val="2"/>
          </rPr>
          <t>ASSUMPTION: Tim Hortons SOM starts at 0.5% of organised market in Y1 (pilot phase), scaling to 7% by FY28 if expansion is aggressive.</t>
        </r>
      </text>
    </comment>
    <comment ref="F20" authorId="0" shapeId="0" xr:uid="{E2C2DCBF-70EC-43C5-8CAC-EC0028E2E19D}">
      <text>
        <r>
          <rPr>
            <sz val="10"/>
            <rFont val="Arial"/>
            <family val="2"/>
          </rPr>
          <t>8 stores Year 1 (pilot in Delhi NCR + Mumbai).</t>
        </r>
      </text>
    </comment>
    <comment ref="F21" authorId="0" shapeId="0" xr:uid="{D63FA3AE-FFBA-4C21-8F6B-CDCFBFCBD01B}">
      <text>
        <r>
          <rPr>
            <sz val="10"/>
            <rFont val="Arial"/>
            <family val="2"/>
          </rPr>
          <t>ASSUMPTION: 220/day based on Starbucks India new-outlet benchmarks. Sensitive assumption — flagged.</t>
        </r>
      </text>
    </comment>
    <comment ref="F22" authorId="0" shapeId="0" xr:uid="{9DD9C37C-CB51-4489-B3CD-694728CDC8BF}">
      <text>
        <r>
          <rPr>
            <sz val="10"/>
            <rFont val="Arial"/>
            <family val="2"/>
          </rPr>
          <t>SOURCE: 1_Assumptions row 8 (₹280). Annual increase ~5% tracks CPI + menu premiumisation.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9" authorId="0" shapeId="0" xr:uid="{C4DA3D35-F34B-497E-8A33-0BDCC6256D65}">
      <text>
        <r>
          <rPr>
            <sz val="10"/>
            <rFont val="Arial"/>
            <family val="2"/>
          </rPr>
          <t>SOURCE: Starbucks India press release Q3 FY2023; 390 stores. Cross-ref: 1_Assumptions row 26. Growing ~60 stores/year.</t>
        </r>
      </text>
    </comment>
    <comment ref="F9" authorId="0" shapeId="0" xr:uid="{EF125F05-5910-4614-9E97-C4044406EA25}">
      <text>
        <r>
          <rPr>
            <sz val="10"/>
            <rFont val="Arial"/>
            <family val="2"/>
          </rPr>
          <t>SOURCE: Tata Starbucks investor notes; avg transaction ₹420-480. Cross-ref: 1_Assumptions row 28.</t>
        </r>
      </text>
    </comment>
    <comment ref="E10" authorId="0" shapeId="0" xr:uid="{44892789-969C-49A9-80A4-AE9F9FF10498}">
      <text>
        <r>
          <rPr>
            <sz val="10"/>
            <rFont val="Arial"/>
            <family val="2"/>
          </rPr>
          <t>SOURCE: CCD Annual Report FY23. 450 stores post-restructuring (down from 1,750 peak). Financial distress flagged.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0" authorId="0" shapeId="0" xr:uid="{C327D171-132C-40B8-81BB-8453D2CD1361}">
      <text>
        <r>
          <rPr>
            <sz val="10"/>
            <rFont val="Arial"/>
            <family val="2"/>
          </rPr>
          <t>FORMULA: Weighted average of 5 dimension scores (each normalised to 0-1 scale) × respective weights in Row 3. Classic Drip expected to score highest due to margin + volume + brand fit.</t>
        </r>
      </text>
    </comment>
    <comment ref="F14" authorId="0" shapeId="0" xr:uid="{4F3388A5-FCFA-42AF-A26E-D26C02854AA5}">
      <text>
        <r>
          <rPr>
            <sz val="10"/>
            <rFont val="Arial"/>
            <family val="2"/>
          </rPr>
          <t>FORMULA uses 1_Assumptions row 36 (cold beverage margin premium of +5%). Green font for cross-sheet reference.</t>
        </r>
      </text>
    </comment>
    <comment ref="E15" authorId="0" shapeId="0" xr:uid="{8CF8E17F-FB6E-407A-82AA-20689BF68DE4}">
      <text>
        <r>
          <rPr>
            <sz val="10"/>
            <rFont val="Arial"/>
            <family val="2"/>
          </rPr>
          <t>STRATEGIC NOTE: Chai Latte is unique to India. Tim Hortons has no global version — must be developed. High demand score (5/5) because chai is India's #1 hot beverage. Localisation investment justified.</t>
        </r>
      </text>
    </comment>
    <comment ref="E16" authorId="0" shapeId="0" xr:uid="{AA38C402-FACF-4517-9459-844B1AB66386}">
      <text>
        <r>
          <rPr>
            <sz val="10"/>
            <rFont val="Arial"/>
            <family val="2"/>
          </rPr>
          <t>ASSUMPTION: Veg breakfast wrap India-specific at ₹150. No global equivalent. FSSAI veg compliance needed. Demand score 4 reflects India's ~40% vegetarian population.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0" authorId="0" shapeId="0" xr:uid="{4F3DE496-49EB-4AC0-816A-2ECD3D6F3F6A}">
      <text>
        <r>
          <rPr>
            <sz val="10"/>
            <rFont val="Arial"/>
            <family val="2"/>
          </rPr>
          <t>SOURCE: Euromonitor; Mumbai has India's highest café density (~2,200 outlets). Maturity score 5/5.</t>
        </r>
      </text>
    </comment>
    <comment ref="G11" authorId="0" shapeId="0" xr:uid="{72F7ECCA-E1C6-4744-9686-5D42ACB50907}">
      <text>
        <r>
          <rPr>
            <sz val="10"/>
            <rFont val="Arial"/>
            <family val="2"/>
          </rPr>
          <t>NOTE: Delhi/NCR scores 5/5 on TH brand awareness due to large NRI population returning from Canada/US. Tim Hortons has cult recognition among this segment.</t>
        </r>
      </text>
    </comment>
    <comment ref="G12" authorId="0" shapeId="0" xr:uid="{E5AE2408-058E-45AF-A361-1CBA7BEE959E}">
      <text>
        <r>
          <rPr>
            <sz val="10"/>
            <rFont val="Arial"/>
            <family val="2"/>
          </rPr>
          <t>SOURCE: BCG India Consumer Report 2023; Bengaluru has India's fastest growing café segment driven by tech workforce. Third Wave Coffee + Blue Tokai both launched here first.</t>
        </r>
      </text>
    </comment>
    <comment ref="H17" authorId="0" shapeId="0" xr:uid="{C8584A24-04D5-49A5-8DD2-D321C1F38C99}">
      <text>
        <r>
          <rPr>
            <sz val="10"/>
            <rFont val="Arial"/>
            <family val="2"/>
          </rPr>
          <t>NOTE: Chandigarh scores 5/5 on RE feasibility — lower rentals vs metros with high per-capita income and NRI connections. Underrated market for Tim Hortons.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</author>
    <author>Unknown Author</author>
  </authors>
  <commentList>
    <comment ref="E11" authorId="0" shapeId="0" xr:uid="{04B081BA-4D52-4430-B18B-EA14EBE31FCB}">
      <text>
        <r>
          <rPr>
            <sz val="9"/>
            <color indexed="81"/>
            <rFont val="Tahoma"/>
            <family val="2"/>
          </rPr>
          <t>29 = Operating days per year / 12</t>
        </r>
      </text>
    </comment>
    <comment ref="E23" authorId="1" shapeId="0" xr:uid="{3AA39A56-051C-4626-BC3D-4F9037163452}">
      <text>
        <r>
          <rPr>
            <sz val="10"/>
            <rFont val="Arial"/>
            <family val="2"/>
          </rPr>
          <t>ASSUMPTION: Rent ₹300/sqft × 1,200sqft = ₹3.6L/month for metro high-street. JLL India Q3 2023. This is the single biggest cost lever. Mall locations may have lower base rent but higher revenue share.</t>
        </r>
      </text>
    </comment>
    <comment ref="E27" authorId="1" shapeId="0" xr:uid="{F6A670B0-F422-46EB-B4A0-799860A9B74C}">
      <text>
        <r>
          <rPr>
            <sz val="10"/>
            <rFont val="Arial"/>
            <family val="2"/>
          </rPr>
          <t>ASSUMPTION: 5% of revenue on marketing. Higher than steady state (2-3%) due to launch phase. Industry benchmark for new café brands.</t>
        </r>
      </text>
    </comment>
    <comment ref="E28" authorId="1" shapeId="0" xr:uid="{D5D47751-3164-4577-8FB9-A6BFF65527F4}">
      <text>
        <r>
          <rPr>
            <sz val="10"/>
            <rFont val="Arial"/>
            <family val="2"/>
          </rPr>
          <t>ASSUMPTION: ₹35,000/month utilities. Based on comparable café disclosures. Energy cost is rising in India — flag for sensitivity.</t>
        </r>
      </text>
    </comment>
  </commentList>
</comments>
</file>

<file path=xl/sharedStrings.xml><?xml version="1.0" encoding="utf-8"?>
<sst xmlns="http://schemas.openxmlformats.org/spreadsheetml/2006/main" count="363" uniqueCount="283">
  <si>
    <t>Date of Valuation</t>
  </si>
  <si>
    <t>INDEX</t>
  </si>
  <si>
    <t>Assumptions</t>
  </si>
  <si>
    <t>Unit Economics</t>
  </si>
  <si>
    <t>GTM &amp; City Prioritisation</t>
  </si>
  <si>
    <t>Product Profitability</t>
  </si>
  <si>
    <t>Competitive Landscape</t>
  </si>
  <si>
    <t>Market Sizing</t>
  </si>
  <si>
    <t>Client:</t>
  </si>
  <si>
    <t>Tim Hortons / RBI</t>
  </si>
  <si>
    <t>(Unless Otherwise specified, all financials are in ₹)</t>
  </si>
  <si>
    <t>India Café Market</t>
  </si>
  <si>
    <t>India F&amp;B market size (2023)</t>
  </si>
  <si>
    <t>Café segment share of F&amp;B</t>
  </si>
  <si>
    <t>India café market size (2023)</t>
  </si>
  <si>
    <t>India café market CAGR (2023-28)</t>
  </si>
  <si>
    <t>Urban café penetration (% urban pop)</t>
  </si>
  <si>
    <t>Units</t>
  </si>
  <si>
    <t>%</t>
  </si>
  <si>
    <t>₹ Cr</t>
  </si>
  <si>
    <t>Value</t>
  </si>
  <si>
    <t>Consumer Behaviour</t>
  </si>
  <si>
    <t>Morning visit share (breakfast daypart)</t>
  </si>
  <si>
    <t>Coffee drinker share – urban India</t>
  </si>
  <si>
    <t>₹</t>
  </si>
  <si>
    <t>Tim Hortons target ticket size</t>
  </si>
  <si>
    <t>Avg ticket size (mid-market café)</t>
  </si>
  <si>
    <t>Avg ticket size (premium café)</t>
  </si>
  <si>
    <t>Store Economics</t>
  </si>
  <si>
    <t>Franchise/royalty fee (% of revenue)</t>
  </si>
  <si>
    <t>Store size (sqft)</t>
  </si>
  <si>
    <t>Staff count per store</t>
  </si>
  <si>
    <t>Avg staff cost p.m. per FTE (₹)</t>
  </si>
  <si>
    <t>COGS as % of revenue</t>
  </si>
  <si>
    <t>Operating days per year</t>
  </si>
  <si>
    <t>Setup cost per store – metro (₹ lakh)</t>
  </si>
  <si>
    <t>Lease cost – metro high street (₹/sqft/mo)</t>
  </si>
  <si>
    <t>Daily footfall assumption – Year 1</t>
  </si>
  <si>
    <t>Footfall ramp – Year 2 growth</t>
  </si>
  <si>
    <t>₹ Lakh</t>
  </si>
  <si>
    <t>₹/sqft/mo</t>
  </si>
  <si>
    <t>sqft</t>
  </si>
  <si>
    <t>FTEs</t>
  </si>
  <si>
    <t>₹/mo</t>
  </si>
  <si>
    <t>Customers/day</t>
  </si>
  <si>
    <t>Days</t>
  </si>
  <si>
    <t>Market Entry</t>
  </si>
  <si>
    <t>Phase 1 cities (Year 1)</t>
  </si>
  <si>
    <t>Phase 1 target outlets (Year 1)</t>
  </si>
  <si>
    <t>Phase 2 cities (Year 2)</t>
  </si>
  <si>
    <t>Phase 2 target outlets (Year 2)</t>
  </si>
  <si>
    <t>Delhi NCR, Mumbai</t>
  </si>
  <si>
    <t>Bengaluru, Pune</t>
  </si>
  <si>
    <t>#</t>
  </si>
  <si>
    <t>Products</t>
  </si>
  <si>
    <t>Competitive</t>
  </si>
  <si>
    <t>Starbucks India outlets (2023)</t>
  </si>
  <si>
    <t>CCD outlets (2023)</t>
  </si>
  <si>
    <t>Starbucks avg ticket India (₹)</t>
  </si>
  <si>
    <t>Tim Hortons classic coffee COGS ratio</t>
  </si>
  <si>
    <t>Timbits donut COGS ratio</t>
  </si>
  <si>
    <t>Cold beverage margin premium</t>
  </si>
  <si>
    <t>Localisation cost premium - food items</t>
  </si>
  <si>
    <t>Stores</t>
  </si>
  <si>
    <t>Base Year</t>
  </si>
  <si>
    <t>India F&amp;B Market</t>
  </si>
  <si>
    <t xml:space="preserve">India Café Market TAM </t>
  </si>
  <si>
    <t xml:space="preserve">Organised Café Market SAM </t>
  </si>
  <si>
    <t xml:space="preserve">Tim Hortons SOM </t>
  </si>
  <si>
    <t xml:space="preserve">Café Segment Share </t>
  </si>
  <si>
    <t xml:space="preserve">Organised Café Share </t>
  </si>
  <si>
    <t xml:space="preserve">Tim Hortons Achievable Share </t>
  </si>
  <si>
    <t>A</t>
  </si>
  <si>
    <t>Top-down Market Sizing</t>
  </si>
  <si>
    <t>B</t>
  </si>
  <si>
    <t>Bottom-up Market Sizing</t>
  </si>
  <si>
    <t>Number of Tim Hortons stores</t>
  </si>
  <si>
    <t>Avg daily footfall / store</t>
  </si>
  <si>
    <t>Avg ticket size (₹)</t>
  </si>
  <si>
    <t>Operating days/year</t>
  </si>
  <si>
    <t>Revenue per store (₹ Cr)</t>
  </si>
  <si>
    <t>Total network revenue (₹ Cr)</t>
  </si>
  <si>
    <t>Phase plan in GTM sheet</t>
  </si>
  <si>
    <t>Outlets (India)</t>
  </si>
  <si>
    <t>Avg Ticket (₹)</t>
  </si>
  <si>
    <t>Positioning</t>
  </si>
  <si>
    <t>Core Strength</t>
  </si>
  <si>
    <t>Core Weakness</t>
  </si>
  <si>
    <t>Tim Hortons Overlap</t>
  </si>
  <si>
    <t>Threat to TH</t>
  </si>
  <si>
    <t>Opportunity Gap</t>
  </si>
  <si>
    <t>Starbucks India</t>
  </si>
  <si>
    <t>Café Coffee Day</t>
  </si>
  <si>
    <t>Blue Tokai</t>
  </si>
  <si>
    <t>Third Wave Coffee</t>
  </si>
  <si>
    <t>McDonald's McCafé</t>
  </si>
  <si>
    <t>Barista</t>
  </si>
  <si>
    <t>Dunkin' India</t>
  </si>
  <si>
    <t>Competitor</t>
  </si>
  <si>
    <t>Premium / aspirational</t>
  </si>
  <si>
    <t>Global brand; loyalty ecosystem; Tata partnership depth</t>
  </si>
  <si>
    <t>High price point limits mass appeal; limited menu localisation</t>
  </si>
  <si>
    <t>Premium beverages; urban affluent</t>
  </si>
  <si>
    <t>Value / everyday</t>
  </si>
  <si>
    <t>Largest network; local brand trust; affordable</t>
  </si>
  <si>
    <t>Financial stress; dated store experience; weak marketing</t>
  </si>
  <si>
    <t>Affordable positioning; daily coffee</t>
  </si>
  <si>
    <t>Specialty / artisanal</t>
  </si>
  <si>
    <t>High quality; roastery story; urban cult following</t>
  </si>
  <si>
    <t>Small scale; niche appeal; no mass-market pricing</t>
  </si>
  <si>
    <t>Specialty coffee drinkers</t>
  </si>
  <si>
    <t>Neo-premium / experience</t>
  </si>
  <si>
    <t>Young brand; strong D2C; influencer-driven growth</t>
  </si>
  <si>
    <t>Limited geography; premium pricing in non-metro pushback</t>
  </si>
  <si>
    <t>Coffee connoisseurs; youth</t>
  </si>
  <si>
    <t>Convenience / value</t>
  </si>
  <si>
    <t>Massive footfall via McDonald's; low price</t>
  </si>
  <si>
    <t>Perceived as fast-food add-on; no café ambiance</t>
  </si>
  <si>
    <t>Quick grab-and-go; value seekers</t>
  </si>
  <si>
    <t>Mid-premium / familiar</t>
  </si>
  <si>
    <t>Legacy brand; mall presence</t>
  </si>
  <si>
    <t>Weak brand investment; menu stale; no innovation</t>
  </si>
  <si>
    <t>Mid-market; mall consumers</t>
  </si>
  <si>
    <t>Value-premium / American</t>
  </si>
  <si>
    <t>Parent brand recognition; donuts</t>
  </si>
  <si>
    <t>Very limited presence; supply chain issues in India</t>
  </si>
  <si>
    <t>Donuts + coffee combo</t>
  </si>
  <si>
    <t>HIGH</t>
  </si>
  <si>
    <t>Affordable everyday positioning; Tier 2 expansion; breakfast</t>
  </si>
  <si>
    <t>MED</t>
  </si>
  <si>
    <t>Superior product quality; global brand credibility; digital</t>
  </si>
  <si>
    <t>LOW</t>
  </si>
  <si>
    <t>Scale; accessibility; non-coffee items (Timbits/food)</t>
  </si>
  <si>
    <t>LOW-MED</t>
  </si>
  <si>
    <t>Tier 1 expansion; food + coffee bundling at accessible price</t>
  </si>
  <si>
    <t>MED-HIGH</t>
  </si>
  <si>
    <t>Café experience + quality coffee; Timbits complement baked</t>
  </si>
  <si>
    <t>Innovation; Tim Hortons brand freshness; breakfast range</t>
  </si>
  <si>
    <t>Direct overlap but TH far stronger globally; scale advantage</t>
  </si>
  <si>
    <t>x</t>
  </si>
  <si>
    <t>Affordable Premium Positioning</t>
  </si>
  <si>
    <t>Breakfast + Coffee Bundle</t>
  </si>
  <si>
    <t>RBI Parent Ecosystem</t>
  </si>
  <si>
    <t>Menu Localisation Capability</t>
  </si>
  <si>
    <t>Global Brand Recognition</t>
  </si>
  <si>
    <t>Digital &amp; Loyalty Infrastructure</t>
  </si>
  <si>
    <t>No incumbent owns the morning breakfast occasion at scale. Timbits + coffee as habitual daily combo is untapped</t>
  </si>
  <si>
    <t>RBI's India F&amp;B experience (BK India) accelerates FSSAI compliance, local sourcing, veg menu build</t>
  </si>
  <si>
    <t>₹250-300 ticket hits the sweet spot below Starbucks and above CCD – India's fastest-growing consumer segment</t>
  </si>
  <si>
    <t>Parent RBI owns Burger King India (300+ outlets) – potential cross-location synergies, shared real estate pipeline</t>
  </si>
  <si>
    <t>Among Indian outbound travellers &amp; NRIs – Tim Hortons has high awareness. Strong brand pull for aspirational consumers</t>
  </si>
  <si>
    <t>Tim Hortons app with gamified loyalty is replicable in India – key for Gen Z / Millennial retention</t>
  </si>
  <si>
    <t>Why It Matters in India</t>
  </si>
  <si>
    <t>Strength</t>
  </si>
  <si>
    <t>India Sell Price (₹)</t>
  </si>
  <si>
    <t>Gross Margin (%)</t>
  </si>
  <si>
    <t>Consumer Demand Fit (1-5)</t>
  </si>
  <si>
    <t>Localisation Ease (1-5)</t>
  </si>
  <si>
    <t>Expected Volume (1-5)</t>
  </si>
  <si>
    <t>Brand Identity Fit (1-5)</t>
  </si>
  <si>
    <t>Weighted Opp Score</t>
  </si>
  <si>
    <t>Recommendation</t>
  </si>
  <si>
    <t>Product Category</t>
  </si>
  <si>
    <t>Competitive Intensity 
(1-5, 5=low)</t>
  </si>
  <si>
    <t>Classic Drip Coffee (Hot)</t>
  </si>
  <si>
    <t>Espresso-based Drinks (Latte/Cap)</t>
  </si>
  <si>
    <t>Cold Brew / Iced Coffee</t>
  </si>
  <si>
    <t>Classic Breakfast Sandwich</t>
  </si>
  <si>
    <t>Vegetarian Breakfast Wrap (India-specific)</t>
  </si>
  <si>
    <t>Baked Goods (Muffins / Croissants)</t>
  </si>
  <si>
    <t>Cold Beverages (Smoothies / Frappes)</t>
  </si>
  <si>
    <t>Chai Latte (India-localised)</t>
  </si>
  <si>
    <t>Combo Meal (Coffee + Timbits)</t>
  </si>
  <si>
    <t>Timbits (Mini Donuts)</t>
  </si>
  <si>
    <t>Timbits (Indian Flavour - Gulab/Mango)</t>
  </si>
  <si>
    <t>Estimated
 COGS (₹)</t>
  </si>
  <si>
    <t>Weightage</t>
  </si>
  <si>
    <t>City</t>
  </si>
  <si>
    <t>Café Culture Maturity (1-5)</t>
  </si>
  <si>
    <t>Disposable Income (1-5)</t>
  </si>
  <si>
    <t>TH Brand Awareness (1-5)</t>
  </si>
  <si>
    <t>RE Cost Feasibility (1-5)</t>
  </si>
  <si>
    <t>Phase Recommendation</t>
  </si>
  <si>
    <t xml:space="preserve">GTM STRATEGY &amp; CITY PRIORITISATION </t>
  </si>
  <si>
    <t>Tim Hortons India</t>
  </si>
  <si>
    <t>Mumbai</t>
  </si>
  <si>
    <t>Delhi / NCR</t>
  </si>
  <si>
    <t>Bengaluru</t>
  </si>
  <si>
    <t>Hyderabad</t>
  </si>
  <si>
    <t>Pune</t>
  </si>
  <si>
    <t>Chennai</t>
  </si>
  <si>
    <t>Kolkata</t>
  </si>
  <si>
    <t>Chandigarh</t>
  </si>
  <si>
    <t>Ahmedabad</t>
  </si>
  <si>
    <t>Jaipur</t>
  </si>
  <si>
    <t>City Prioritisation Matrix</t>
  </si>
  <si>
    <t>GTM Phasing Plan</t>
  </si>
  <si>
    <t>Phases</t>
  </si>
  <si>
    <t>Phase 1 – Pilot</t>
  </si>
  <si>
    <t>Phase 2 – Scale</t>
  </si>
  <si>
    <t>Phase 3 – Accelerate</t>
  </si>
  <si>
    <t>Phase 1 – Year 1</t>
  </si>
  <si>
    <t>Phase 2 – Year 2</t>
  </si>
  <si>
    <t>Phase 3 – Year 3+</t>
  </si>
  <si>
    <t>Timeline</t>
  </si>
  <si>
    <t>Cities</t>
  </si>
  <si>
    <t>No. of Stores</t>
  </si>
  <si>
    <t>Entry Mode</t>
  </si>
  <si>
    <t>Key Milestones</t>
  </si>
  <si>
    <t>Investment Focus</t>
  </si>
  <si>
    <t>Risk Flags</t>
  </si>
  <si>
    <t>Q1 2024 – Q4 2024</t>
  </si>
  <si>
    <t>Delhi NCR + Mumbai</t>
  </si>
  <si>
    <t>Master Franchise / JV with Devyani/Jubilant</t>
  </si>
  <si>
    <t>8 stores live; Unit economics validated; App launched in India; Local menu (Chai Latte, Veg wrap) tested</t>
  </si>
  <si>
    <t>Brand building; store ops; supply chain setup</t>
  </si>
  <si>
    <t>Franchisee quality; FSSAI approvals; supply chain gaps</t>
  </si>
  <si>
    <t>Q1 2025 – Q4 2025</t>
  </si>
  <si>
    <t>+ Bengaluru + Pune</t>
  </si>
  <si>
    <t>Franchise expansion; airport &amp; mall prioritisation</t>
  </si>
  <si>
    <t>28 total stores; Breakfast daypart &gt;35% mix; Timbits becoming signature product; Loyalty app MAU &gt;50k</t>
  </si>
  <si>
    <t>Marketing spend; menu localisation; supply scale</t>
  </si>
  <si>
    <t>Competition response from Starbucks/McCafé; real estate costs</t>
  </si>
  <si>
    <t>2026–2028</t>
  </si>
  <si>
    <t>+ Hyderabad, Chennai, Tier 2</t>
  </si>
  <si>
    <t>90-140 stores (see Market Sizing sheet)</t>
  </si>
  <si>
    <t>Mix of franchise + company-owned flagships</t>
  </si>
  <si>
    <t>National brand; 5%+ organised market share; Drive-thru pilots in suburban markets</t>
  </si>
  <si>
    <t>Digital ordering; delivery tie-up (Swiggy/Zomato); loyalty monetisation</t>
  </si>
  <si>
    <t>Franchisor quality control at scale; margin pressure</t>
  </si>
  <si>
    <t>Weighted 
Priority Score</t>
  </si>
  <si>
    <t>Competition 
Intensity (1-5)</t>
  </si>
  <si>
    <t>Monthly (₹)</t>
  </si>
  <si>
    <t>Annual (₹)</t>
  </si>
  <si>
    <t>% of Revenue</t>
  </si>
  <si>
    <t>Revenue</t>
  </si>
  <si>
    <t>Daily Footfall (customers)</t>
  </si>
  <si>
    <t>Avg Ticket Size (₹)</t>
  </si>
  <si>
    <t>Operating Days / Month</t>
  </si>
  <si>
    <t>Gross Revenue / Month (₹)</t>
  </si>
  <si>
    <t>Cost of Goods</t>
  </si>
  <si>
    <t>COGS % of Revenue</t>
  </si>
  <si>
    <t>Gross Margin %</t>
  </si>
  <si>
    <t>Operating Expenses</t>
  </si>
  <si>
    <t>Profitability</t>
  </si>
  <si>
    <t>EBITDA Margin %</t>
  </si>
  <si>
    <t>Setup &amp; Payback</t>
  </si>
  <si>
    <t>Monthly EBITDA (₹)</t>
  </si>
  <si>
    <t>Payback Period (months)</t>
  </si>
  <si>
    <t>Payback Period (years)</t>
  </si>
  <si>
    <t>COGS Amount</t>
  </si>
  <si>
    <t>Gross Profit</t>
  </si>
  <si>
    <t xml:space="preserve">Rent </t>
  </si>
  <si>
    <t xml:space="preserve">Staff Cost </t>
  </si>
  <si>
    <t xml:space="preserve">Franchise / Royalty Fee </t>
  </si>
  <si>
    <t xml:space="preserve">Marketing &amp; Promotions </t>
  </si>
  <si>
    <t xml:space="preserve">Utilities &amp; Maintenance </t>
  </si>
  <si>
    <t xml:space="preserve">Other Opex </t>
  </si>
  <si>
    <t xml:space="preserve">Total Opex </t>
  </si>
  <si>
    <t>Store Setup Cost</t>
  </si>
  <si>
    <t>EBITDA (₹)</t>
  </si>
  <si>
    <t>Months</t>
  </si>
  <si>
    <t>Years</t>
  </si>
  <si>
    <t>UNIT ECONOMICS</t>
  </si>
  <si>
    <t>Single Store P&amp;L Model (Tim Hortons India)</t>
  </si>
  <si>
    <t>PRODUCT PROFITABILITY MATRIX</t>
  </si>
  <si>
    <t>-</t>
  </si>
  <si>
    <t>COMPETITIVE LANDSCAPE</t>
  </si>
  <si>
    <t>India Café Market vs. Tim Hortons</t>
  </si>
  <si>
    <t>INDIA CAFÉ MARKET SIZING</t>
  </si>
  <si>
    <t>TAM / SAM / SOM</t>
  </si>
  <si>
    <t xml:space="preserve">ASSUMPTIONS </t>
  </si>
  <si>
    <t>Tim Hortons India Market Entry</t>
  </si>
  <si>
    <t>Restaurant Brands International Inc. .</t>
  </si>
  <si>
    <t>Owner</t>
  </si>
  <si>
    <t>Market entry and GTM</t>
  </si>
  <si>
    <t>Source &amp; Rationale</t>
  </si>
  <si>
    <t>NRAI India Food Services Report 2023; total organised+unorganised F&amp;B</t>
  </si>
  <si>
    <t>Euromonitor / Technavio: café &amp; bar segment 5% of total F&amp;B spend</t>
  </si>
  <si>
    <t>Redseer Strategy Consultants</t>
  </si>
  <si>
    <t>BCG India Consumer Sentiment 2023; almost 8% urban adults visit café monthly</t>
  </si>
  <si>
    <t>Teamlease F&amp;B Salary Report 2023; café staff ₹18k-26k blended</t>
  </si>
  <si>
    <t>New store ramp; comparable Starbucks India outlet launch data 200-250/day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</si>
</sst>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₹&quot;\ #,##0.00;[Red]&quot;₹&quot;\ \-#,##0.00"/>
    <numFmt numFmtId="43" formatCode="_ * #,##0.00_ ;_ * \-#,##0.00_ ;_ * &quot;-&quot;??_ ;_ @_ "/>
    <numFmt numFmtId="164" formatCode="_ * #,##0.0_ ;_ * \-#,##0.0_ ;_ * &quot;-&quot;??_ ;_ @_ "/>
    <numFmt numFmtId="171" formatCode="[$-14009]d\ mmmm\ yyyy;@"/>
    <numFmt numFmtId="172" formatCode="&quot;FY&quot;yy\A"/>
    <numFmt numFmtId="173" formatCode="&quot;FY&quot;yy\E"/>
    <numFmt numFmtId="176" formatCode="_(* #,##0_);_(* \(#,##0\);_(* &quot;-&quot;??_);_(@_)"/>
    <numFmt numFmtId="177" formatCode="_(* #,##0.0_);_(* \(#,##0.0\);_(* &quot;-&quot;??_);_(@_)"/>
    <numFmt numFmtId="180" formatCode="0.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3366FF"/>
      <name val="Arial"/>
      <family val="2"/>
    </font>
    <font>
      <i/>
      <sz val="10"/>
      <color theme="1"/>
      <name val="Arial"/>
      <family val="2"/>
    </font>
    <font>
      <b/>
      <sz val="10"/>
      <color indexed="8"/>
      <name val="Arial"/>
      <family val="2"/>
    </font>
    <font>
      <sz val="9"/>
      <color rgb="FF000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rgb="FF218F60"/>
      <name val="Arial"/>
      <family val="2"/>
    </font>
    <font>
      <b/>
      <sz val="10"/>
      <color rgb="FFC00000"/>
      <name val="Arial"/>
      <family val="2"/>
    </font>
    <font>
      <b/>
      <sz val="10"/>
      <color rgb="FF3366FF"/>
      <name val="Arial"/>
      <family val="2"/>
    </font>
    <font>
      <b/>
      <sz val="10"/>
      <color rgb="FF218F60"/>
      <name val="Arial"/>
      <family val="2"/>
    </font>
    <font>
      <b/>
      <u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auto="1"/>
      </right>
      <top style="thin">
        <color theme="0" tint="-0.2499465926084170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2" xfId="0" applyFont="1" applyBorder="1"/>
    <xf numFmtId="0" fontId="0" fillId="0" borderId="3" xfId="0" applyBorder="1"/>
    <xf numFmtId="164" fontId="3" fillId="0" borderId="3" xfId="1" applyNumberFormat="1" applyFont="1" applyBorder="1" applyAlignment="1"/>
    <xf numFmtId="0" fontId="0" fillId="0" borderId="4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0" xfId="0" applyFont="1" applyAlignment="1">
      <alignment horizontal="center"/>
    </xf>
    <xf numFmtId="0" fontId="0" fillId="0" borderId="0" xfId="0" applyFont="1"/>
    <xf numFmtId="171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0" fontId="4" fillId="0" borderId="7" xfId="0" applyFont="1" applyBorder="1"/>
    <xf numFmtId="0" fontId="1" fillId="0" borderId="7" xfId="0" applyFont="1" applyBorder="1"/>
    <xf numFmtId="0" fontId="2" fillId="0" borderId="7" xfId="0" applyFont="1" applyBorder="1"/>
    <xf numFmtId="0" fontId="0" fillId="0" borderId="7" xfId="0" applyBorder="1"/>
    <xf numFmtId="0" fontId="5" fillId="0" borderId="7" xfId="0" applyFont="1" applyBorder="1"/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0" fillId="0" borderId="8" xfId="0" applyBorder="1"/>
    <xf numFmtId="0" fontId="1" fillId="0" borderId="0" xfId="0" applyFont="1" applyAlignment="1">
      <alignment horizontal="center"/>
    </xf>
    <xf numFmtId="0" fontId="4" fillId="0" borderId="7" xfId="0" applyFont="1" applyBorder="1" applyAlignment="1">
      <alignment horizontal="left"/>
    </xf>
    <xf numFmtId="0" fontId="3" fillId="0" borderId="0" xfId="0" applyFont="1"/>
    <xf numFmtId="9" fontId="3" fillId="0" borderId="0" xfId="0" applyNumberFormat="1" applyFont="1"/>
    <xf numFmtId="0" fontId="2" fillId="0" borderId="7" xfId="0" applyFont="1" applyBorder="1" applyAlignment="1">
      <alignment horizontal="right"/>
    </xf>
    <xf numFmtId="0" fontId="3" fillId="0" borderId="0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9" fontId="3" fillId="0" borderId="0" xfId="2" applyFont="1" applyFill="1" applyBorder="1" applyAlignment="1">
      <alignment horizontal="right" vertical="center" wrapText="1"/>
    </xf>
    <xf numFmtId="173" fontId="5" fillId="0" borderId="7" xfId="0" applyNumberFormat="1" applyFont="1" applyBorder="1"/>
    <xf numFmtId="172" fontId="5" fillId="0" borderId="7" xfId="0" applyNumberFormat="1" applyFont="1" applyBorder="1"/>
    <xf numFmtId="176" fontId="1" fillId="0" borderId="0" xfId="0" applyNumberFormat="1" applyFont="1"/>
    <xf numFmtId="176" fontId="11" fillId="0" borderId="0" xfId="0" applyNumberFormat="1" applyFont="1"/>
    <xf numFmtId="9" fontId="11" fillId="0" borderId="0" xfId="0" applyNumberFormat="1" applyFont="1"/>
    <xf numFmtId="176" fontId="0" fillId="0" borderId="0" xfId="0" applyNumberFormat="1"/>
    <xf numFmtId="9" fontId="7" fillId="0" borderId="0" xfId="2" applyFont="1" applyFill="1" applyBorder="1" applyAlignment="1">
      <alignment horizontal="right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77" fontId="0" fillId="0" borderId="0" xfId="0" applyNumberFormat="1"/>
    <xf numFmtId="0" fontId="11" fillId="0" borderId="0" xfId="0" applyFont="1" applyFill="1" applyBorder="1" applyAlignment="1">
      <alignment horizontal="right" vertical="center" wrapText="1"/>
    </xf>
    <xf numFmtId="177" fontId="0" fillId="0" borderId="0" xfId="0" applyNumberFormat="1" applyAlignment="1">
      <alignment horizontal="right"/>
    </xf>
    <xf numFmtId="0" fontId="0" fillId="0" borderId="10" xfId="0" applyBorder="1"/>
    <xf numFmtId="0" fontId="0" fillId="0" borderId="11" xfId="0" applyBorder="1"/>
    <xf numFmtId="0" fontId="5" fillId="0" borderId="7" xfId="0" applyFont="1" applyBorder="1" applyAlignment="1">
      <alignment horizontal="right"/>
    </xf>
    <xf numFmtId="0" fontId="5" fillId="0" borderId="7" xfId="0" applyFont="1" applyBorder="1" applyAlignment="1">
      <alignment horizontal="center"/>
    </xf>
    <xf numFmtId="0" fontId="0" fillId="0" borderId="12" xfId="0" applyBorder="1"/>
    <xf numFmtId="0" fontId="15" fillId="0" borderId="0" xfId="0" applyFont="1"/>
    <xf numFmtId="0" fontId="16" fillId="0" borderId="0" xfId="0" applyFont="1"/>
    <xf numFmtId="0" fontId="0" fillId="0" borderId="13" xfId="0" applyBorder="1"/>
    <xf numFmtId="0" fontId="0" fillId="0" borderId="14" xfId="0" applyBorder="1"/>
    <xf numFmtId="0" fontId="5" fillId="0" borderId="7" xfId="0" applyFont="1" applyBorder="1" applyAlignment="1">
      <alignment horizontal="right" wrapText="1"/>
    </xf>
    <xf numFmtId="9" fontId="0" fillId="0" borderId="0" xfId="2" applyFont="1"/>
    <xf numFmtId="180" fontId="10" fillId="0" borderId="0" xfId="0" applyNumberFormat="1" applyFont="1" applyFill="1" applyBorder="1" applyAlignment="1">
      <alignment horizontal="right" vertical="center" wrapText="1"/>
    </xf>
    <xf numFmtId="2" fontId="10" fillId="0" borderId="0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indent="1"/>
    </xf>
    <xf numFmtId="0" fontId="5" fillId="0" borderId="7" xfId="0" applyFont="1" applyBorder="1" applyAlignment="1">
      <alignment horizontal="left" wrapText="1" indent="1"/>
    </xf>
    <xf numFmtId="2" fontId="0" fillId="0" borderId="0" xfId="0" applyNumberFormat="1" applyFill="1" applyBorder="1" applyAlignment="1">
      <alignment horizontal="right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/>
    <xf numFmtId="0" fontId="2" fillId="0" borderId="7" xfId="0" applyFont="1" applyBorder="1" applyAlignment="1"/>
    <xf numFmtId="0" fontId="0" fillId="0" borderId="8" xfId="0" applyBorder="1" applyAlignment="1">
      <alignment vertical="center"/>
    </xf>
    <xf numFmtId="0" fontId="5" fillId="0" borderId="7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 indent="1"/>
    </xf>
    <xf numFmtId="0" fontId="0" fillId="2" borderId="0" xfId="0" applyFill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 indent="1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 indent="1"/>
    </xf>
    <xf numFmtId="0" fontId="0" fillId="0" borderId="9" xfId="0" applyBorder="1"/>
    <xf numFmtId="0" fontId="0" fillId="0" borderId="8" xfId="0" applyBorder="1" applyAlignment="1">
      <alignment horizontal="right"/>
    </xf>
    <xf numFmtId="8" fontId="0" fillId="0" borderId="8" xfId="0" applyNumberFormat="1" applyBorder="1" applyAlignment="1">
      <alignment horizontal="right"/>
    </xf>
    <xf numFmtId="176" fontId="3" fillId="0" borderId="0" xfId="0" applyNumberFormat="1" applyFont="1"/>
    <xf numFmtId="0" fontId="5" fillId="0" borderId="7" xfId="0" applyFont="1" applyBorder="1" applyAlignment="1">
      <alignment horizontal="left" indent="1"/>
    </xf>
    <xf numFmtId="176" fontId="8" fillId="0" borderId="0" xfId="0" applyNumberFormat="1" applyFont="1"/>
    <xf numFmtId="176" fontId="2" fillId="0" borderId="0" xfId="0" applyNumberFormat="1" applyFont="1"/>
    <xf numFmtId="0" fontId="2" fillId="0" borderId="5" xfId="0" applyFont="1" applyBorder="1"/>
    <xf numFmtId="0" fontId="2" fillId="0" borderId="6" xfId="0" applyFont="1" applyBorder="1" applyAlignment="1">
      <alignment horizontal="right"/>
    </xf>
    <xf numFmtId="176" fontId="2" fillId="0" borderId="5" xfId="0" applyNumberFormat="1" applyFont="1" applyBorder="1"/>
    <xf numFmtId="8" fontId="2" fillId="0" borderId="8" xfId="0" applyNumberFormat="1" applyFont="1" applyBorder="1" applyAlignment="1">
      <alignment horizontal="right"/>
    </xf>
    <xf numFmtId="8" fontId="2" fillId="0" borderId="6" xfId="0" applyNumberFormat="1" applyFont="1" applyBorder="1" applyAlignment="1">
      <alignment horizontal="right"/>
    </xf>
    <xf numFmtId="9" fontId="0" fillId="0" borderId="5" xfId="2" applyFont="1" applyBorder="1"/>
    <xf numFmtId="0" fontId="0" fillId="0" borderId="10" xfId="0" applyBorder="1" applyAlignment="1">
      <alignment horizontal="right"/>
    </xf>
    <xf numFmtId="0" fontId="0" fillId="0" borderId="0" xfId="0" quotePrefix="1" applyAlignment="1">
      <alignment horizontal="center"/>
    </xf>
    <xf numFmtId="0" fontId="0" fillId="0" borderId="0" xfId="0" applyBorder="1" applyAlignment="1">
      <alignment vertical="center" wrapText="1"/>
    </xf>
    <xf numFmtId="0" fontId="1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1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 wrapText="1"/>
    </xf>
    <xf numFmtId="0" fontId="13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 wrapText="1"/>
    </xf>
    <xf numFmtId="0" fontId="0" fillId="2" borderId="8" xfId="0" applyFill="1" applyBorder="1"/>
    <xf numFmtId="0" fontId="14" fillId="2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top" wrapText="1"/>
    </xf>
    <xf numFmtId="0" fontId="11" fillId="2" borderId="0" xfId="0" applyFont="1" applyFill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18F60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52193</xdr:rowOff>
    </xdr:from>
    <xdr:to>
      <xdr:col>3</xdr:col>
      <xdr:colOff>298304</xdr:colOff>
      <xdr:row>3</xdr:row>
      <xdr:rowOff>130480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5FD1-3ED1-BDEE-B3A5-07BA541D9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987" y="219207"/>
          <a:ext cx="1921468" cy="412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5620-9044-4EFD-A5D2-187A343FBE1C}">
  <dimension ref="B5:E21"/>
  <sheetViews>
    <sheetView showGridLines="0" tabSelected="1" zoomScale="131" workbookViewId="0">
      <selection activeCell="C14" sqref="C14"/>
    </sheetView>
  </sheetViews>
  <sheetFormatPr defaultRowHeight="13.2" x14ac:dyDescent="0.25"/>
  <cols>
    <col min="1" max="1" width="3.109375" customWidth="1"/>
    <col min="2" max="2" width="4.109375" customWidth="1"/>
    <col min="3" max="3" width="19.5546875" customWidth="1"/>
    <col min="4" max="4" width="16.88671875" customWidth="1"/>
  </cols>
  <sheetData>
    <row r="5" spans="2:5" s="1" customFormat="1" x14ac:dyDescent="0.25"/>
    <row r="7" spans="2:5" x14ac:dyDescent="0.25">
      <c r="B7" s="2" t="s">
        <v>8</v>
      </c>
      <c r="D7" t="s">
        <v>9</v>
      </c>
    </row>
    <row r="8" spans="2:5" x14ac:dyDescent="0.25">
      <c r="B8" s="2" t="s">
        <v>0</v>
      </c>
      <c r="D8" s="12">
        <v>45261</v>
      </c>
    </row>
    <row r="9" spans="2:5" x14ac:dyDescent="0.25">
      <c r="B9" s="2" t="s">
        <v>274</v>
      </c>
      <c r="D9" t="s">
        <v>273</v>
      </c>
    </row>
    <row r="11" spans="2:5" x14ac:dyDescent="0.25">
      <c r="B11" s="3" t="s">
        <v>275</v>
      </c>
      <c r="C11" s="4"/>
      <c r="D11" s="5"/>
      <c r="E11" s="6"/>
    </row>
    <row r="12" spans="2:5" s="1" customFormat="1" x14ac:dyDescent="0.25"/>
    <row r="14" spans="2:5" x14ac:dyDescent="0.25">
      <c r="B14" s="2" t="s">
        <v>1</v>
      </c>
    </row>
    <row r="15" spans="2:5" x14ac:dyDescent="0.25">
      <c r="B15" s="10">
        <v>1</v>
      </c>
      <c r="C15" s="11" t="s">
        <v>2</v>
      </c>
    </row>
    <row r="16" spans="2:5" x14ac:dyDescent="0.25">
      <c r="B16" s="10">
        <f>B15+1</f>
        <v>2</v>
      </c>
      <c r="C16" s="11" t="s">
        <v>7</v>
      </c>
    </row>
    <row r="17" spans="2:3" x14ac:dyDescent="0.25">
      <c r="B17" s="10">
        <f t="shared" ref="B17:B20" si="0">B16+1</f>
        <v>3</v>
      </c>
      <c r="C17" t="s">
        <v>6</v>
      </c>
    </row>
    <row r="18" spans="2:3" x14ac:dyDescent="0.25">
      <c r="B18" s="10">
        <f t="shared" si="0"/>
        <v>4</v>
      </c>
      <c r="C18" t="s">
        <v>5</v>
      </c>
    </row>
    <row r="19" spans="2:3" x14ac:dyDescent="0.25">
      <c r="B19" s="10">
        <f t="shared" si="0"/>
        <v>5</v>
      </c>
      <c r="C19" t="s">
        <v>4</v>
      </c>
    </row>
    <row r="20" spans="2:3" x14ac:dyDescent="0.25">
      <c r="B20" s="10">
        <f t="shared" si="0"/>
        <v>6</v>
      </c>
      <c r="C20" t="s">
        <v>3</v>
      </c>
    </row>
    <row r="21" spans="2:3" s="1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D3B8-B851-455A-8B12-C271C47AAF5E}">
  <dimension ref="A1:Q59"/>
  <sheetViews>
    <sheetView showGridLines="0" workbookViewId="0">
      <pane xSplit="3" ySplit="5" topLeftCell="D6" activePane="bottomRight" state="frozen"/>
      <selection activeCell="B36" sqref="B36"/>
      <selection pane="topRight" activeCell="B36" sqref="B36"/>
      <selection pane="bottomLeft" activeCell="B36" sqref="B36"/>
      <selection pane="bottomRight" activeCell="I62" sqref="I62"/>
    </sheetView>
  </sheetViews>
  <sheetFormatPr defaultRowHeight="13.2" x14ac:dyDescent="0.25"/>
  <cols>
    <col min="1" max="1" width="3.5546875" style="8" customWidth="1"/>
    <col min="2" max="2" width="34.109375" customWidth="1"/>
    <col min="3" max="3" width="9" style="23" customWidth="1"/>
    <col min="4" max="4" width="15" customWidth="1"/>
    <col min="5" max="5" width="10.88671875" customWidth="1"/>
    <col min="6" max="12" width="12.77734375" customWidth="1"/>
  </cols>
  <sheetData>
    <row r="1" spans="1:17" x14ac:dyDescent="0.25">
      <c r="A1" s="24"/>
      <c r="B1" s="13"/>
      <c r="C1" s="21"/>
      <c r="D1" s="13"/>
      <c r="E1" s="13"/>
      <c r="F1" s="13"/>
      <c r="G1" s="13"/>
      <c r="H1" s="13"/>
      <c r="I1" s="13"/>
      <c r="J1" s="13"/>
      <c r="K1" s="13"/>
      <c r="L1" s="13"/>
    </row>
    <row r="2" spans="1:17" x14ac:dyDescent="0.25">
      <c r="A2" s="24"/>
      <c r="B2" s="2" t="s">
        <v>271</v>
      </c>
      <c r="C2" s="21"/>
      <c r="D2" s="13"/>
      <c r="E2" s="13"/>
      <c r="F2" s="13"/>
      <c r="G2" s="13"/>
      <c r="H2" s="13"/>
      <c r="I2" s="13"/>
      <c r="J2" s="13"/>
      <c r="K2" s="13"/>
      <c r="L2" s="13"/>
    </row>
    <row r="3" spans="1:17" x14ac:dyDescent="0.25">
      <c r="A3" s="24"/>
      <c r="B3" s="13" t="s">
        <v>272</v>
      </c>
      <c r="C3" s="21"/>
      <c r="D3" s="13"/>
      <c r="E3" s="13"/>
      <c r="F3" s="13"/>
      <c r="G3" s="13"/>
      <c r="H3" s="13"/>
      <c r="I3" s="13"/>
      <c r="J3" s="13"/>
      <c r="K3" s="13"/>
      <c r="L3" s="13"/>
    </row>
    <row r="4" spans="1:17" x14ac:dyDescent="0.25">
      <c r="A4" s="24"/>
      <c r="B4" s="13"/>
      <c r="C4" s="21"/>
      <c r="D4" s="13"/>
      <c r="E4" s="13"/>
      <c r="F4" s="13"/>
      <c r="G4" s="13"/>
      <c r="H4" s="13"/>
      <c r="I4" s="13"/>
      <c r="J4" s="13"/>
      <c r="K4" s="13"/>
      <c r="L4" s="13"/>
    </row>
    <row r="5" spans="1:17" s="19" customFormat="1" ht="13.8" thickBot="1" x14ac:dyDescent="0.3">
      <c r="A5" s="25" t="s">
        <v>10</v>
      </c>
      <c r="B5" s="17"/>
      <c r="C5" s="22"/>
      <c r="D5" s="18" t="s">
        <v>17</v>
      </c>
      <c r="E5" s="28" t="s">
        <v>20</v>
      </c>
      <c r="F5" s="18"/>
      <c r="G5" s="18" t="s">
        <v>276</v>
      </c>
      <c r="H5" s="18"/>
      <c r="I5" s="18"/>
      <c r="J5" s="18"/>
      <c r="K5" s="18"/>
      <c r="L5" s="18"/>
      <c r="M5" s="18"/>
      <c r="N5" s="18"/>
      <c r="O5" s="18"/>
      <c r="P5" s="18"/>
      <c r="Q5" s="18"/>
    </row>
    <row r="7" spans="1:17" x14ac:dyDescent="0.25">
      <c r="A7" s="7">
        <v>1</v>
      </c>
      <c r="B7" s="2" t="s">
        <v>11</v>
      </c>
    </row>
    <row r="9" spans="1:17" x14ac:dyDescent="0.25">
      <c r="B9" t="s">
        <v>12</v>
      </c>
      <c r="D9" t="s">
        <v>19</v>
      </c>
      <c r="E9" s="26">
        <v>90000</v>
      </c>
      <c r="G9" s="15" t="s">
        <v>277</v>
      </c>
    </row>
    <row r="10" spans="1:17" x14ac:dyDescent="0.25">
      <c r="B10" t="s">
        <v>13</v>
      </c>
      <c r="D10" t="s">
        <v>18</v>
      </c>
      <c r="E10" s="27">
        <v>0.05</v>
      </c>
      <c r="G10" s="15" t="s">
        <v>278</v>
      </c>
    </row>
    <row r="11" spans="1:17" x14ac:dyDescent="0.25">
      <c r="B11" t="s">
        <v>14</v>
      </c>
      <c r="D11" t="s">
        <v>19</v>
      </c>
      <c r="E11">
        <f>E10*E9</f>
        <v>4500</v>
      </c>
    </row>
    <row r="12" spans="1:17" x14ac:dyDescent="0.25">
      <c r="B12" t="s">
        <v>15</v>
      </c>
      <c r="D12" t="s">
        <v>18</v>
      </c>
      <c r="E12" s="27">
        <v>0.12</v>
      </c>
      <c r="G12" s="15" t="s">
        <v>279</v>
      </c>
    </row>
    <row r="13" spans="1:17" x14ac:dyDescent="0.25">
      <c r="B13" t="s">
        <v>16</v>
      </c>
      <c r="D13" t="s">
        <v>18</v>
      </c>
      <c r="E13" s="27">
        <v>0.08</v>
      </c>
      <c r="G13" s="15" t="s">
        <v>280</v>
      </c>
    </row>
    <row r="16" spans="1:17" x14ac:dyDescent="0.25">
      <c r="A16" s="7">
        <v>2</v>
      </c>
      <c r="B16" s="2" t="s">
        <v>21</v>
      </c>
    </row>
    <row r="18" spans="1:7" x14ac:dyDescent="0.25">
      <c r="B18" t="s">
        <v>27</v>
      </c>
      <c r="D18" t="s">
        <v>24</v>
      </c>
      <c r="E18" s="29">
        <v>450</v>
      </c>
    </row>
    <row r="19" spans="1:7" x14ac:dyDescent="0.25">
      <c r="B19" t="s">
        <v>26</v>
      </c>
      <c r="D19" t="s">
        <v>24</v>
      </c>
      <c r="E19" s="29">
        <v>220</v>
      </c>
    </row>
    <row r="20" spans="1:7" x14ac:dyDescent="0.25">
      <c r="B20" t="s">
        <v>25</v>
      </c>
      <c r="D20" t="s">
        <v>24</v>
      </c>
      <c r="E20" s="29">
        <v>280</v>
      </c>
    </row>
    <row r="21" spans="1:7" x14ac:dyDescent="0.25">
      <c r="B21" t="s">
        <v>23</v>
      </c>
      <c r="D21" t="s">
        <v>18</v>
      </c>
      <c r="E21" s="34">
        <v>0.32</v>
      </c>
    </row>
    <row r="22" spans="1:7" x14ac:dyDescent="0.25">
      <c r="B22" t="s">
        <v>22</v>
      </c>
      <c r="D22" t="s">
        <v>18</v>
      </c>
      <c r="E22" s="34">
        <v>0.38</v>
      </c>
    </row>
    <row r="25" spans="1:7" x14ac:dyDescent="0.25">
      <c r="A25" s="7">
        <v>3</v>
      </c>
      <c r="B25" s="2" t="s">
        <v>28</v>
      </c>
    </row>
    <row r="27" spans="1:7" x14ac:dyDescent="0.25">
      <c r="B27" t="s">
        <v>35</v>
      </c>
      <c r="D27" t="s">
        <v>39</v>
      </c>
      <c r="E27" s="29">
        <v>150</v>
      </c>
    </row>
    <row r="28" spans="1:7" x14ac:dyDescent="0.25">
      <c r="B28" t="s">
        <v>29</v>
      </c>
      <c r="D28" t="s">
        <v>18</v>
      </c>
      <c r="E28" s="34">
        <v>0.06</v>
      </c>
    </row>
    <row r="29" spans="1:7" x14ac:dyDescent="0.25">
      <c r="B29" t="s">
        <v>36</v>
      </c>
      <c r="D29" t="s">
        <v>40</v>
      </c>
      <c r="E29" s="29">
        <v>300</v>
      </c>
    </row>
    <row r="30" spans="1:7" x14ac:dyDescent="0.25">
      <c r="B30" t="s">
        <v>30</v>
      </c>
      <c r="D30" t="s">
        <v>41</v>
      </c>
      <c r="E30" s="29">
        <v>1200</v>
      </c>
    </row>
    <row r="31" spans="1:7" x14ac:dyDescent="0.25">
      <c r="B31" t="s">
        <v>31</v>
      </c>
      <c r="D31" t="s">
        <v>42</v>
      </c>
      <c r="E31" s="29">
        <v>12</v>
      </c>
    </row>
    <row r="32" spans="1:7" x14ac:dyDescent="0.25">
      <c r="B32" t="s">
        <v>32</v>
      </c>
      <c r="D32" t="s">
        <v>43</v>
      </c>
      <c r="E32" s="29">
        <v>22000</v>
      </c>
      <c r="G32" t="s">
        <v>281</v>
      </c>
    </row>
    <row r="33" spans="1:7" x14ac:dyDescent="0.25">
      <c r="B33" t="s">
        <v>37</v>
      </c>
      <c r="D33" t="s">
        <v>44</v>
      </c>
      <c r="E33" s="29">
        <v>220</v>
      </c>
      <c r="G33" t="s">
        <v>282</v>
      </c>
    </row>
    <row r="34" spans="1:7" x14ac:dyDescent="0.25">
      <c r="B34" t="s">
        <v>38</v>
      </c>
      <c r="D34" t="s">
        <v>18</v>
      </c>
      <c r="E34" s="34">
        <v>0.2</v>
      </c>
    </row>
    <row r="35" spans="1:7" x14ac:dyDescent="0.25">
      <c r="B35" t="s">
        <v>33</v>
      </c>
      <c r="D35" t="s">
        <v>18</v>
      </c>
      <c r="E35" s="34">
        <v>0.3</v>
      </c>
    </row>
    <row r="36" spans="1:7" x14ac:dyDescent="0.25">
      <c r="B36" t="s">
        <v>34</v>
      </c>
      <c r="D36" t="s">
        <v>45</v>
      </c>
      <c r="E36" s="29">
        <v>350</v>
      </c>
    </row>
    <row r="39" spans="1:7" x14ac:dyDescent="0.25">
      <c r="A39" s="7">
        <v>4</v>
      </c>
      <c r="B39" s="2" t="s">
        <v>46</v>
      </c>
    </row>
    <row r="41" spans="1:7" x14ac:dyDescent="0.25">
      <c r="B41" t="s">
        <v>47</v>
      </c>
      <c r="E41" s="31" t="s">
        <v>51</v>
      </c>
    </row>
    <row r="42" spans="1:7" x14ac:dyDescent="0.25">
      <c r="B42" t="s">
        <v>48</v>
      </c>
      <c r="D42" t="s">
        <v>53</v>
      </c>
      <c r="E42" s="31">
        <v>8</v>
      </c>
    </row>
    <row r="43" spans="1:7" x14ac:dyDescent="0.25">
      <c r="B43" t="s">
        <v>49</v>
      </c>
      <c r="E43" s="31" t="s">
        <v>52</v>
      </c>
    </row>
    <row r="44" spans="1:7" x14ac:dyDescent="0.25">
      <c r="B44" t="s">
        <v>50</v>
      </c>
      <c r="D44" t="s">
        <v>53</v>
      </c>
      <c r="E44" s="31">
        <v>20</v>
      </c>
    </row>
    <row r="47" spans="1:7" x14ac:dyDescent="0.25">
      <c r="A47" s="7">
        <v>5</v>
      </c>
      <c r="B47" s="2" t="s">
        <v>55</v>
      </c>
    </row>
    <row r="49" spans="1:5" x14ac:dyDescent="0.25">
      <c r="B49" t="s">
        <v>56</v>
      </c>
      <c r="D49" t="s">
        <v>63</v>
      </c>
      <c r="E49" s="29">
        <v>390</v>
      </c>
    </row>
    <row r="50" spans="1:5" x14ac:dyDescent="0.25">
      <c r="B50" t="s">
        <v>57</v>
      </c>
      <c r="D50" t="s">
        <v>63</v>
      </c>
      <c r="E50" s="29">
        <v>450</v>
      </c>
    </row>
    <row r="51" spans="1:5" x14ac:dyDescent="0.25">
      <c r="B51" t="s">
        <v>58</v>
      </c>
      <c r="D51" t="s">
        <v>24</v>
      </c>
      <c r="E51" s="29">
        <v>450</v>
      </c>
    </row>
    <row r="54" spans="1:5" x14ac:dyDescent="0.25">
      <c r="A54" s="7">
        <v>6</v>
      </c>
      <c r="B54" s="2" t="s">
        <v>54</v>
      </c>
    </row>
    <row r="56" spans="1:5" x14ac:dyDescent="0.25">
      <c r="B56" t="s">
        <v>59</v>
      </c>
      <c r="C56" s="32"/>
      <c r="D56" s="33" t="s">
        <v>18</v>
      </c>
      <c r="E56" s="34">
        <v>0.27</v>
      </c>
    </row>
    <row r="57" spans="1:5" x14ac:dyDescent="0.25">
      <c r="B57" t="s">
        <v>60</v>
      </c>
      <c r="C57" s="32"/>
      <c r="D57" s="33" t="s">
        <v>18</v>
      </c>
      <c r="E57" s="34">
        <v>0.35</v>
      </c>
    </row>
    <row r="58" spans="1:5" x14ac:dyDescent="0.25">
      <c r="B58" t="s">
        <v>62</v>
      </c>
      <c r="C58" s="32"/>
      <c r="D58" s="33" t="s">
        <v>18</v>
      </c>
      <c r="E58" s="34">
        <v>0.08</v>
      </c>
    </row>
    <row r="59" spans="1:5" x14ac:dyDescent="0.25">
      <c r="B59" t="s">
        <v>61</v>
      </c>
      <c r="C59" s="32"/>
      <c r="D59" s="33" t="s">
        <v>18</v>
      </c>
      <c r="E59" s="34">
        <v>0.05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2EA0-949C-4046-81C2-FCDB7F1E508E}">
  <dimension ref="A1:Q25"/>
  <sheetViews>
    <sheetView showGridLines="0" workbookViewId="0">
      <pane xSplit="3" ySplit="5" topLeftCell="D6" activePane="bottomRight" state="frozen"/>
      <selection activeCell="C5" sqref="C5"/>
      <selection pane="topRight" activeCell="C5" sqref="C5"/>
      <selection pane="bottomLeft" activeCell="C5" sqref="C5"/>
      <selection pane="bottomRight" activeCell="F24" sqref="F24"/>
    </sheetView>
  </sheetViews>
  <sheetFormatPr defaultRowHeight="13.2" x14ac:dyDescent="0.25"/>
  <cols>
    <col min="1" max="1" width="3.5546875" style="8" customWidth="1"/>
    <col min="2" max="2" width="34.109375" customWidth="1"/>
    <col min="3" max="3" width="9.21875" style="23" customWidth="1"/>
    <col min="4" max="4" width="5.6640625" customWidth="1"/>
    <col min="5" max="12" width="12.77734375" customWidth="1"/>
  </cols>
  <sheetData>
    <row r="1" spans="1:17" x14ac:dyDescent="0.25">
      <c r="A1" s="24"/>
      <c r="B1" s="13"/>
      <c r="C1" s="21"/>
      <c r="D1" s="13"/>
      <c r="E1" s="13"/>
      <c r="F1" s="13"/>
      <c r="G1" s="13"/>
      <c r="H1" s="13"/>
      <c r="I1" s="13"/>
      <c r="J1" s="13"/>
      <c r="K1" s="13"/>
      <c r="L1" s="13"/>
    </row>
    <row r="2" spans="1:17" x14ac:dyDescent="0.25">
      <c r="A2" s="24"/>
      <c r="B2" s="2" t="s">
        <v>269</v>
      </c>
      <c r="C2" s="21"/>
      <c r="D2" s="13"/>
      <c r="E2" s="13"/>
      <c r="F2" s="13"/>
      <c r="G2" s="13"/>
      <c r="H2" s="13"/>
      <c r="I2" s="13"/>
      <c r="J2" s="13"/>
      <c r="K2" s="13"/>
      <c r="L2" s="13"/>
    </row>
    <row r="3" spans="1:17" x14ac:dyDescent="0.25">
      <c r="A3" s="24"/>
      <c r="B3" s="11" t="s">
        <v>270</v>
      </c>
      <c r="C3" s="21"/>
      <c r="D3" s="13"/>
      <c r="E3" s="13"/>
      <c r="F3" s="13"/>
      <c r="G3" s="13"/>
      <c r="H3" s="13"/>
      <c r="I3" s="13"/>
      <c r="J3" s="13"/>
      <c r="K3" s="13"/>
      <c r="L3" s="13"/>
    </row>
    <row r="4" spans="1:17" x14ac:dyDescent="0.25">
      <c r="A4" s="24"/>
      <c r="B4" s="13"/>
      <c r="C4" s="21"/>
      <c r="D4" s="13"/>
      <c r="E4" s="14" t="s">
        <v>64</v>
      </c>
      <c r="F4" s="13"/>
      <c r="G4" s="13"/>
      <c r="H4" s="13"/>
      <c r="I4" s="13"/>
      <c r="J4" s="13"/>
      <c r="K4" s="13"/>
      <c r="L4" s="13"/>
    </row>
    <row r="5" spans="1:17" s="19" customFormat="1" ht="13.8" thickBot="1" x14ac:dyDescent="0.3">
      <c r="A5" s="25" t="str">
        <f>Assumptions!A5</f>
        <v>(Unless Otherwise specified, all financials are in ₹)</v>
      </c>
      <c r="B5" s="17"/>
      <c r="C5" s="22"/>
      <c r="D5" s="17"/>
      <c r="E5" s="36">
        <f>Cover!D8</f>
        <v>45261</v>
      </c>
      <c r="F5" s="35">
        <f>EOMONTH(E5,12)</f>
        <v>45657</v>
      </c>
      <c r="G5" s="35">
        <f t="shared" ref="G5:J5" si="0">EOMONTH(F5,12)</f>
        <v>46022</v>
      </c>
      <c r="H5" s="35">
        <f t="shared" si="0"/>
        <v>46387</v>
      </c>
      <c r="I5" s="35">
        <f t="shared" si="0"/>
        <v>46752</v>
      </c>
      <c r="J5" s="35">
        <f t="shared" si="0"/>
        <v>47118</v>
      </c>
      <c r="K5" s="35"/>
      <c r="L5" s="35"/>
      <c r="M5" s="35"/>
      <c r="N5" s="20"/>
      <c r="O5" s="20"/>
      <c r="P5" s="20"/>
      <c r="Q5" s="20"/>
    </row>
    <row r="7" spans="1:17" x14ac:dyDescent="0.25">
      <c r="A7" s="7" t="s">
        <v>72</v>
      </c>
      <c r="B7" s="2" t="s">
        <v>73</v>
      </c>
    </row>
    <row r="9" spans="1:17" x14ac:dyDescent="0.25">
      <c r="B9" t="s">
        <v>65</v>
      </c>
      <c r="D9" t="s">
        <v>19</v>
      </c>
      <c r="E9" s="38">
        <f>Assumptions!E9</f>
        <v>90000</v>
      </c>
      <c r="F9" s="37">
        <f>E9*(1+0.09)</f>
        <v>98100</v>
      </c>
      <c r="G9" s="37">
        <f t="shared" ref="G9:J9" si="1">F9*(1+0.09)</f>
        <v>106929.00000000001</v>
      </c>
      <c r="H9" s="37">
        <f t="shared" si="1"/>
        <v>116552.61000000003</v>
      </c>
      <c r="I9" s="37">
        <f t="shared" si="1"/>
        <v>127042.34490000004</v>
      </c>
      <c r="J9" s="37">
        <f t="shared" si="1"/>
        <v>138476.15594100006</v>
      </c>
    </row>
    <row r="10" spans="1:17" x14ac:dyDescent="0.25">
      <c r="B10" t="s">
        <v>69</v>
      </c>
      <c r="D10" t="s">
        <v>18</v>
      </c>
      <c r="E10" s="39">
        <f>Assumptions!E10</f>
        <v>0.05</v>
      </c>
    </row>
    <row r="11" spans="1:17" x14ac:dyDescent="0.25">
      <c r="B11" t="s">
        <v>66</v>
      </c>
      <c r="D11" t="s">
        <v>19</v>
      </c>
      <c r="E11" s="40">
        <f>$E$10*E9</f>
        <v>4500</v>
      </c>
      <c r="F11" s="40">
        <f t="shared" ref="F11:J11" si="2">$E$10*F9</f>
        <v>4905</v>
      </c>
      <c r="G11" s="40">
        <f t="shared" si="2"/>
        <v>5346.4500000000007</v>
      </c>
      <c r="H11" s="40">
        <f t="shared" si="2"/>
        <v>5827.630500000002</v>
      </c>
      <c r="I11" s="40">
        <f t="shared" si="2"/>
        <v>6352.1172450000022</v>
      </c>
      <c r="J11" s="40">
        <f t="shared" si="2"/>
        <v>6923.8077970500035</v>
      </c>
    </row>
    <row r="12" spans="1:17" x14ac:dyDescent="0.25">
      <c r="B12" t="s">
        <v>70</v>
      </c>
      <c r="D12" t="s">
        <v>18</v>
      </c>
      <c r="E12" s="41">
        <v>0.35</v>
      </c>
      <c r="F12" s="41">
        <v>0.37</v>
      </c>
      <c r="G12" s="41">
        <v>0.39</v>
      </c>
      <c r="H12" s="41">
        <v>0.41</v>
      </c>
      <c r="I12" s="41">
        <v>0.43</v>
      </c>
      <c r="J12" s="41">
        <v>0.45</v>
      </c>
    </row>
    <row r="13" spans="1:17" x14ac:dyDescent="0.25">
      <c r="B13" t="s">
        <v>67</v>
      </c>
      <c r="D13" t="s">
        <v>19</v>
      </c>
      <c r="E13" s="40">
        <f>E12*E11</f>
        <v>1575</v>
      </c>
      <c r="F13" s="40">
        <f>F12*F11</f>
        <v>1814.85</v>
      </c>
      <c r="G13" s="40">
        <f>G12*G11</f>
        <v>2085.1155000000003</v>
      </c>
      <c r="H13" s="40">
        <f>H12*H11</f>
        <v>2389.3285050000009</v>
      </c>
      <c r="I13" s="40">
        <f>I12*I11</f>
        <v>2731.4104153500007</v>
      </c>
      <c r="J13" s="40">
        <f>J12*J11</f>
        <v>3115.7135086725016</v>
      </c>
    </row>
    <row r="14" spans="1:17" x14ac:dyDescent="0.25">
      <c r="B14" t="s">
        <v>71</v>
      </c>
      <c r="D14" t="s">
        <v>18</v>
      </c>
      <c r="E14" s="41">
        <v>5.0000000000000001E-3</v>
      </c>
      <c r="F14" s="41">
        <v>0.01</v>
      </c>
      <c r="G14" s="41">
        <v>0.02</v>
      </c>
      <c r="H14" s="41">
        <v>3.5000000000000003E-2</v>
      </c>
      <c r="I14" s="41">
        <v>0.05</v>
      </c>
      <c r="J14" s="41">
        <v>7.0000000000000007E-2</v>
      </c>
    </row>
    <row r="15" spans="1:17" x14ac:dyDescent="0.25">
      <c r="B15" t="s">
        <v>68</v>
      </c>
      <c r="D15" t="s">
        <v>19</v>
      </c>
      <c r="E15" s="40">
        <f>E14*E13</f>
        <v>7.875</v>
      </c>
      <c r="F15" s="40">
        <f>F14*F13</f>
        <v>18.148499999999999</v>
      </c>
      <c r="G15" s="40">
        <f>G14*G13</f>
        <v>41.702310000000004</v>
      </c>
      <c r="H15" s="40">
        <f>H14*H13</f>
        <v>83.626497675000039</v>
      </c>
      <c r="I15" s="40">
        <f>I14*I13</f>
        <v>136.57052076750003</v>
      </c>
      <c r="J15" s="40">
        <f>J14*J13</f>
        <v>218.09994560707514</v>
      </c>
    </row>
    <row r="18" spans="1:12" x14ac:dyDescent="0.25">
      <c r="A18" s="7" t="s">
        <v>74</v>
      </c>
      <c r="B18" s="2" t="s">
        <v>75</v>
      </c>
    </row>
    <row r="20" spans="1:12" x14ac:dyDescent="0.25">
      <c r="B20" t="s">
        <v>76</v>
      </c>
      <c r="F20" s="45">
        <f>Assumptions!E42</f>
        <v>8</v>
      </c>
      <c r="G20" s="29">
        <v>28</v>
      </c>
      <c r="H20" s="30">
        <v>55</v>
      </c>
      <c r="I20" s="30">
        <v>90</v>
      </c>
      <c r="J20" s="30">
        <v>140</v>
      </c>
      <c r="L20" t="s">
        <v>82</v>
      </c>
    </row>
    <row r="21" spans="1:12" x14ac:dyDescent="0.25">
      <c r="B21" t="s">
        <v>77</v>
      </c>
      <c r="F21" s="45">
        <f>Assumptions!E19</f>
        <v>220</v>
      </c>
      <c r="G21" s="30">
        <v>264</v>
      </c>
      <c r="H21" s="30">
        <v>290</v>
      </c>
      <c r="I21" s="30">
        <v>310</v>
      </c>
      <c r="J21" s="30">
        <v>330</v>
      </c>
    </row>
    <row r="22" spans="1:12" x14ac:dyDescent="0.25">
      <c r="B22" t="s">
        <v>78</v>
      </c>
      <c r="F22" s="45">
        <f>Assumptions!E20</f>
        <v>280</v>
      </c>
      <c r="G22" s="30">
        <v>295</v>
      </c>
      <c r="H22" s="30">
        <v>310</v>
      </c>
      <c r="I22" s="30">
        <v>325</v>
      </c>
      <c r="J22" s="30">
        <v>340</v>
      </c>
    </row>
    <row r="23" spans="1:12" x14ac:dyDescent="0.25">
      <c r="B23" t="s">
        <v>79</v>
      </c>
      <c r="F23" s="30">
        <v>350</v>
      </c>
      <c r="G23" s="30"/>
      <c r="H23" s="30"/>
      <c r="I23" s="30"/>
      <c r="J23" s="30"/>
    </row>
    <row r="24" spans="1:12" x14ac:dyDescent="0.25">
      <c r="B24" t="s">
        <v>80</v>
      </c>
      <c r="D24" t="s">
        <v>19</v>
      </c>
      <c r="F24" s="46">
        <f>$F$23*F22*F21/10000000</f>
        <v>2.1560000000000001</v>
      </c>
      <c r="G24" s="46">
        <f t="shared" ref="G24:J24" si="3">$F$23*G22*G21/10000000</f>
        <v>2.7258</v>
      </c>
      <c r="H24" s="46">
        <f t="shared" si="3"/>
        <v>3.1465000000000001</v>
      </c>
      <c r="I24" s="46">
        <f t="shared" si="3"/>
        <v>3.5262500000000001</v>
      </c>
      <c r="J24" s="46">
        <f t="shared" si="3"/>
        <v>3.927</v>
      </c>
    </row>
    <row r="25" spans="1:12" x14ac:dyDescent="0.25">
      <c r="B25" t="s">
        <v>81</v>
      </c>
      <c r="D25" t="s">
        <v>19</v>
      </c>
      <c r="F25" s="44">
        <f>F24*F20</f>
        <v>17.248000000000001</v>
      </c>
      <c r="G25" s="44">
        <f t="shared" ref="G25:J25" si="4">G24*G20</f>
        <v>76.322400000000002</v>
      </c>
      <c r="H25" s="44">
        <f t="shared" si="4"/>
        <v>173.0575</v>
      </c>
      <c r="I25" s="44">
        <f t="shared" si="4"/>
        <v>317.36250000000001</v>
      </c>
      <c r="J25" s="44">
        <f t="shared" si="4"/>
        <v>549.78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BEE5-37AB-449D-AB0E-5991F7040F63}">
  <dimension ref="A1:Q29"/>
  <sheetViews>
    <sheetView showGridLines="0" workbookViewId="0">
      <pane xSplit="3" ySplit="5" topLeftCell="D6" activePane="bottomRight" state="frozen"/>
      <selection activeCell="C5" sqref="C5"/>
      <selection pane="topRight" activeCell="C5" sqref="C5"/>
      <selection pane="bottomLeft" activeCell="C5" sqref="C5"/>
      <selection pane="bottomRight" activeCell="A6" sqref="A6"/>
    </sheetView>
  </sheetViews>
  <sheetFormatPr defaultRowHeight="13.2" x14ac:dyDescent="0.25"/>
  <cols>
    <col min="1" max="1" width="3.5546875" customWidth="1"/>
    <col min="2" max="2" width="34.109375" customWidth="1"/>
    <col min="3" max="3" width="9" style="23" customWidth="1"/>
    <col min="4" max="4" width="4.109375" customWidth="1"/>
    <col min="5" max="5" width="14.109375" customWidth="1"/>
    <col min="6" max="6" width="17.88671875" customWidth="1"/>
    <col min="7" max="7" width="24.5546875" customWidth="1"/>
    <col min="8" max="8" width="28.77734375" customWidth="1"/>
    <col min="9" max="9" width="28.44140625" customWidth="1"/>
    <col min="10" max="10" width="23.44140625" customWidth="1"/>
    <col min="11" max="11" width="18.44140625" customWidth="1"/>
    <col min="12" max="12" width="32.88671875" customWidth="1"/>
    <col min="14" max="14" width="8.88671875" style="51"/>
  </cols>
  <sheetData>
    <row r="1" spans="1:17" x14ac:dyDescent="0.25">
      <c r="A1" s="13"/>
      <c r="B1" s="13"/>
      <c r="C1" s="21"/>
      <c r="D1" s="13"/>
      <c r="E1" s="13"/>
      <c r="F1" s="13"/>
      <c r="G1" s="13"/>
      <c r="H1" s="13"/>
      <c r="I1" s="13"/>
      <c r="J1" s="13"/>
      <c r="K1" s="13"/>
      <c r="L1" s="13"/>
      <c r="N1" s="51" t="s">
        <v>139</v>
      </c>
    </row>
    <row r="2" spans="1:17" x14ac:dyDescent="0.25">
      <c r="A2" s="13"/>
      <c r="B2" s="2" t="s">
        <v>267</v>
      </c>
      <c r="C2" s="21"/>
      <c r="D2" s="13"/>
      <c r="E2" s="13"/>
      <c r="F2" s="13"/>
      <c r="G2" s="13"/>
      <c r="H2" s="13"/>
      <c r="I2" s="13"/>
      <c r="J2" s="13"/>
      <c r="K2" s="13"/>
      <c r="L2" s="13"/>
      <c r="N2" s="51" t="s">
        <v>139</v>
      </c>
    </row>
    <row r="3" spans="1:17" x14ac:dyDescent="0.25">
      <c r="A3" s="13"/>
      <c r="B3" s="13" t="s">
        <v>268</v>
      </c>
      <c r="C3" s="21"/>
      <c r="D3" s="13"/>
      <c r="E3" s="13"/>
      <c r="F3" s="13"/>
      <c r="G3" s="13"/>
      <c r="H3" s="13"/>
      <c r="I3" s="13"/>
      <c r="J3" s="13"/>
      <c r="K3" s="13"/>
      <c r="L3" s="13"/>
      <c r="N3" s="51" t="s">
        <v>139</v>
      </c>
    </row>
    <row r="4" spans="1:17" x14ac:dyDescent="0.25">
      <c r="A4" s="13"/>
      <c r="B4" s="13"/>
      <c r="C4" s="21"/>
      <c r="D4" s="13"/>
      <c r="E4" s="13"/>
      <c r="F4" s="13"/>
      <c r="G4" s="13"/>
      <c r="H4" s="13"/>
      <c r="I4" s="13"/>
      <c r="J4" s="13"/>
      <c r="K4" s="13"/>
      <c r="L4" s="13"/>
    </row>
    <row r="5" spans="1:17" s="19" customFormat="1" ht="13.8" thickBot="1" x14ac:dyDescent="0.3">
      <c r="A5" s="16" t="str">
        <f>Assumptions!A5</f>
        <v>(Unless Otherwise specified, all financials are in ₹)</v>
      </c>
      <c r="B5" s="17"/>
      <c r="C5" s="22"/>
      <c r="D5" s="17"/>
      <c r="E5" s="50" t="s">
        <v>83</v>
      </c>
      <c r="F5" s="50" t="s">
        <v>84</v>
      </c>
      <c r="G5" s="20" t="s">
        <v>85</v>
      </c>
      <c r="H5" s="20" t="s">
        <v>86</v>
      </c>
      <c r="I5" s="20" t="s">
        <v>87</v>
      </c>
      <c r="J5" s="20" t="s">
        <v>88</v>
      </c>
      <c r="K5" s="20" t="s">
        <v>89</v>
      </c>
      <c r="L5" s="20" t="s">
        <v>90</v>
      </c>
      <c r="M5" s="20"/>
      <c r="N5" s="51" t="s">
        <v>139</v>
      </c>
      <c r="O5" s="20"/>
      <c r="P5" s="20"/>
      <c r="Q5" s="20"/>
    </row>
    <row r="6" spans="1:17" x14ac:dyDescent="0.25">
      <c r="E6" s="8"/>
      <c r="F6" s="8"/>
      <c r="N6" s="51" t="s">
        <v>139</v>
      </c>
    </row>
    <row r="7" spans="1:17" x14ac:dyDescent="0.25">
      <c r="A7" s="2" t="s">
        <v>98</v>
      </c>
      <c r="E7" s="8"/>
      <c r="F7" s="8"/>
      <c r="N7" s="51" t="s">
        <v>139</v>
      </c>
    </row>
    <row r="8" spans="1:17" x14ac:dyDescent="0.25">
      <c r="E8" s="8"/>
      <c r="F8" s="8"/>
      <c r="N8" s="51" t="s">
        <v>139</v>
      </c>
    </row>
    <row r="9" spans="1:17" ht="34.950000000000003" customHeight="1" x14ac:dyDescent="0.25">
      <c r="A9" s="32"/>
      <c r="B9" s="74" t="s">
        <v>91</v>
      </c>
      <c r="C9" s="67"/>
      <c r="D9" s="74"/>
      <c r="E9" s="42">
        <f>Assumptions!E49</f>
        <v>390</v>
      </c>
      <c r="F9" s="42">
        <f>Assumptions!E51</f>
        <v>450</v>
      </c>
      <c r="G9" s="96" t="s">
        <v>99</v>
      </c>
      <c r="H9" s="96" t="s">
        <v>100</v>
      </c>
      <c r="I9" s="96" t="s">
        <v>101</v>
      </c>
      <c r="J9" s="96" t="s">
        <v>102</v>
      </c>
      <c r="K9" s="97" t="s">
        <v>127</v>
      </c>
      <c r="L9" s="98" t="s">
        <v>128</v>
      </c>
      <c r="M9" s="23"/>
      <c r="N9" s="51" t="s">
        <v>139</v>
      </c>
    </row>
    <row r="10" spans="1:17" ht="34.950000000000003" customHeight="1" x14ac:dyDescent="0.25">
      <c r="A10" s="100"/>
      <c r="B10" s="101" t="s">
        <v>92</v>
      </c>
      <c r="C10" s="102"/>
      <c r="D10" s="101"/>
      <c r="E10" s="103">
        <f>Assumptions!E50</f>
        <v>450</v>
      </c>
      <c r="F10" s="104">
        <v>220</v>
      </c>
      <c r="G10" s="105" t="s">
        <v>103</v>
      </c>
      <c r="H10" s="105" t="s">
        <v>104</v>
      </c>
      <c r="I10" s="105" t="s">
        <v>105</v>
      </c>
      <c r="J10" s="105" t="s">
        <v>106</v>
      </c>
      <c r="K10" s="106" t="s">
        <v>129</v>
      </c>
      <c r="L10" s="107" t="s">
        <v>130</v>
      </c>
      <c r="M10" s="108"/>
      <c r="N10" s="51" t="s">
        <v>139</v>
      </c>
    </row>
    <row r="11" spans="1:17" ht="34.950000000000003" customHeight="1" x14ac:dyDescent="0.25">
      <c r="A11" s="32"/>
      <c r="B11" s="74" t="s">
        <v>93</v>
      </c>
      <c r="C11" s="67"/>
      <c r="D11" s="74"/>
      <c r="E11" s="43">
        <v>80</v>
      </c>
      <c r="F11" s="43">
        <v>380</v>
      </c>
      <c r="G11" s="96" t="s">
        <v>107</v>
      </c>
      <c r="H11" s="96" t="s">
        <v>108</v>
      </c>
      <c r="I11" s="96" t="s">
        <v>109</v>
      </c>
      <c r="J11" s="96" t="s">
        <v>110</v>
      </c>
      <c r="K11" s="99" t="s">
        <v>131</v>
      </c>
      <c r="L11" s="98" t="s">
        <v>132</v>
      </c>
      <c r="M11" s="23"/>
      <c r="N11" s="51" t="s">
        <v>139</v>
      </c>
    </row>
    <row r="12" spans="1:17" ht="34.950000000000003" customHeight="1" x14ac:dyDescent="0.25">
      <c r="A12" s="100"/>
      <c r="B12" s="101" t="s">
        <v>94</v>
      </c>
      <c r="C12" s="102"/>
      <c r="D12" s="101"/>
      <c r="E12" s="104">
        <v>120</v>
      </c>
      <c r="F12" s="104">
        <v>350</v>
      </c>
      <c r="G12" s="105" t="s">
        <v>111</v>
      </c>
      <c r="H12" s="105" t="s">
        <v>112</v>
      </c>
      <c r="I12" s="105" t="s">
        <v>113</v>
      </c>
      <c r="J12" s="105" t="s">
        <v>114</v>
      </c>
      <c r="K12" s="106" t="s">
        <v>133</v>
      </c>
      <c r="L12" s="107" t="s">
        <v>134</v>
      </c>
      <c r="M12" s="108"/>
      <c r="N12" s="51" t="s">
        <v>139</v>
      </c>
    </row>
    <row r="13" spans="1:17" ht="34.950000000000003" customHeight="1" x14ac:dyDescent="0.25">
      <c r="A13" s="32"/>
      <c r="B13" s="74" t="s">
        <v>95</v>
      </c>
      <c r="C13" s="67"/>
      <c r="D13" s="74"/>
      <c r="E13" s="43">
        <v>350</v>
      </c>
      <c r="F13" s="43">
        <v>150</v>
      </c>
      <c r="G13" s="96" t="s">
        <v>115</v>
      </c>
      <c r="H13" s="96" t="s">
        <v>116</v>
      </c>
      <c r="I13" s="96" t="s">
        <v>117</v>
      </c>
      <c r="J13" s="96" t="s">
        <v>118</v>
      </c>
      <c r="K13" s="97" t="s">
        <v>135</v>
      </c>
      <c r="L13" s="98" t="s">
        <v>136</v>
      </c>
      <c r="M13" s="23"/>
      <c r="N13" s="51" t="s">
        <v>139</v>
      </c>
    </row>
    <row r="14" spans="1:17" ht="34.950000000000003" customHeight="1" x14ac:dyDescent="0.25">
      <c r="A14" s="100"/>
      <c r="B14" s="101" t="s">
        <v>96</v>
      </c>
      <c r="C14" s="102"/>
      <c r="D14" s="101"/>
      <c r="E14" s="104">
        <v>200</v>
      </c>
      <c r="F14" s="104">
        <v>260</v>
      </c>
      <c r="G14" s="105" t="s">
        <v>119</v>
      </c>
      <c r="H14" s="105" t="s">
        <v>120</v>
      </c>
      <c r="I14" s="105" t="s">
        <v>121</v>
      </c>
      <c r="J14" s="105" t="s">
        <v>122</v>
      </c>
      <c r="K14" s="109" t="s">
        <v>131</v>
      </c>
      <c r="L14" s="107" t="s">
        <v>137</v>
      </c>
      <c r="M14" s="108"/>
      <c r="N14" s="51" t="s">
        <v>139</v>
      </c>
    </row>
    <row r="15" spans="1:17" ht="34.950000000000003" customHeight="1" x14ac:dyDescent="0.25">
      <c r="A15" s="32"/>
      <c r="B15" s="74" t="s">
        <v>97</v>
      </c>
      <c r="C15" s="67"/>
      <c r="D15" s="74"/>
      <c r="E15" s="43">
        <v>30</v>
      </c>
      <c r="F15" s="43">
        <v>250</v>
      </c>
      <c r="G15" s="96" t="s">
        <v>123</v>
      </c>
      <c r="H15" s="96" t="s">
        <v>124</v>
      </c>
      <c r="I15" s="96" t="s">
        <v>125</v>
      </c>
      <c r="J15" s="96" t="s">
        <v>126</v>
      </c>
      <c r="K15" s="99" t="s">
        <v>131</v>
      </c>
      <c r="L15" s="98" t="s">
        <v>138</v>
      </c>
      <c r="M15" s="23"/>
      <c r="N15" s="51" t="s">
        <v>139</v>
      </c>
    </row>
    <row r="16" spans="1:17" x14ac:dyDescent="0.25">
      <c r="A16" s="32"/>
      <c r="B16" s="32"/>
      <c r="D16" s="32"/>
      <c r="E16" s="32"/>
      <c r="F16" s="32"/>
      <c r="G16" s="32"/>
      <c r="H16" s="32"/>
      <c r="I16" s="32"/>
      <c r="J16" s="32"/>
      <c r="K16" s="32"/>
      <c r="L16" s="32"/>
      <c r="M16" s="23"/>
      <c r="N16" s="51" t="s">
        <v>139</v>
      </c>
    </row>
    <row r="17" spans="1:14" s="1" customFormat="1" x14ac:dyDescent="0.25">
      <c r="C17" s="47"/>
      <c r="N17" s="48" t="s">
        <v>139</v>
      </c>
    </row>
    <row r="18" spans="1:14" x14ac:dyDescent="0.25">
      <c r="N18" s="51" t="s">
        <v>139</v>
      </c>
    </row>
    <row r="19" spans="1:14" x14ac:dyDescent="0.25">
      <c r="B19" s="53" t="s">
        <v>153</v>
      </c>
      <c r="E19" s="53" t="s">
        <v>152</v>
      </c>
      <c r="N19" s="51" t="s">
        <v>139</v>
      </c>
    </row>
    <row r="20" spans="1:14" x14ac:dyDescent="0.25">
      <c r="A20" s="53"/>
      <c r="E20" s="53"/>
    </row>
    <row r="21" spans="1:14" x14ac:dyDescent="0.25">
      <c r="A21" s="95" t="s">
        <v>266</v>
      </c>
      <c r="B21" t="s">
        <v>140</v>
      </c>
      <c r="E21" t="s">
        <v>148</v>
      </c>
      <c r="N21" s="51" t="s">
        <v>139</v>
      </c>
    </row>
    <row r="22" spans="1:14" x14ac:dyDescent="0.25">
      <c r="A22" s="95" t="s">
        <v>266</v>
      </c>
      <c r="B22" t="s">
        <v>141</v>
      </c>
      <c r="E22" t="s">
        <v>146</v>
      </c>
      <c r="N22" s="51" t="s">
        <v>139</v>
      </c>
    </row>
    <row r="23" spans="1:14" x14ac:dyDescent="0.25">
      <c r="A23" s="95" t="s">
        <v>266</v>
      </c>
      <c r="B23" t="s">
        <v>142</v>
      </c>
      <c r="E23" t="s">
        <v>149</v>
      </c>
      <c r="N23" s="51" t="s">
        <v>139</v>
      </c>
    </row>
    <row r="24" spans="1:14" x14ac:dyDescent="0.25">
      <c r="A24" s="95" t="s">
        <v>266</v>
      </c>
      <c r="B24" t="s">
        <v>143</v>
      </c>
      <c r="E24" t="s">
        <v>147</v>
      </c>
      <c r="N24" s="51" t="s">
        <v>139</v>
      </c>
    </row>
    <row r="25" spans="1:14" x14ac:dyDescent="0.25">
      <c r="A25" s="95" t="s">
        <v>266</v>
      </c>
      <c r="B25" t="s">
        <v>144</v>
      </c>
      <c r="E25" t="s">
        <v>150</v>
      </c>
      <c r="N25" s="51" t="s">
        <v>139</v>
      </c>
    </row>
    <row r="26" spans="1:14" x14ac:dyDescent="0.25">
      <c r="A26" s="95" t="s">
        <v>266</v>
      </c>
      <c r="B26" t="s">
        <v>145</v>
      </c>
      <c r="E26" t="s">
        <v>151</v>
      </c>
      <c r="N26" s="51" t="s">
        <v>139</v>
      </c>
    </row>
    <row r="27" spans="1:14" x14ac:dyDescent="0.25">
      <c r="N27" s="51" t="s">
        <v>139</v>
      </c>
    </row>
    <row r="28" spans="1:14" x14ac:dyDescent="0.25">
      <c r="N28" s="51" t="s">
        <v>139</v>
      </c>
    </row>
    <row r="29" spans="1:14" x14ac:dyDescent="0.25">
      <c r="N29" s="51" t="s">
        <v>139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8E61-8B29-471C-848F-8DFA4D64255F}">
  <dimension ref="A1:Q20"/>
  <sheetViews>
    <sheetView showGridLines="0" workbookViewId="0">
      <pane xSplit="3" ySplit="4" topLeftCell="G5" activePane="bottomRight" state="frozen"/>
      <selection activeCell="C5" sqref="C5"/>
      <selection pane="topRight" activeCell="C5" sqref="C5"/>
      <selection pane="bottomLeft" activeCell="C5" sqref="C5"/>
      <selection pane="bottomRight" activeCell="A5" sqref="A5"/>
    </sheetView>
  </sheetViews>
  <sheetFormatPr defaultRowHeight="13.2" x14ac:dyDescent="0.25"/>
  <cols>
    <col min="1" max="1" width="3.5546875" customWidth="1"/>
    <col min="2" max="2" width="39" customWidth="1"/>
    <col min="3" max="3" width="11.77734375" style="23" customWidth="1"/>
    <col min="4" max="4" width="4.109375" customWidth="1"/>
    <col min="5" max="5" width="12.77734375" customWidth="1"/>
    <col min="6" max="6" width="11.44140625" customWidth="1"/>
    <col min="7" max="7" width="12.5546875" customWidth="1"/>
    <col min="8" max="8" width="17.5546875" customWidth="1"/>
    <col min="9" max="9" width="15.21875" customWidth="1"/>
    <col min="10" max="10" width="18.6640625" customWidth="1"/>
    <col min="11" max="11" width="15.5546875" customWidth="1"/>
    <col min="12" max="12" width="15.88671875" customWidth="1"/>
    <col min="13" max="13" width="12.88671875" customWidth="1"/>
    <col min="14" max="14" width="18.6640625" customWidth="1"/>
  </cols>
  <sheetData>
    <row r="1" spans="1:17" x14ac:dyDescent="0.25">
      <c r="A1" s="13"/>
      <c r="B1" s="13"/>
      <c r="C1" s="21"/>
      <c r="D1" s="13"/>
      <c r="E1" s="13"/>
      <c r="F1" s="13"/>
      <c r="G1" s="13"/>
      <c r="H1" s="13"/>
      <c r="I1" s="13"/>
      <c r="J1" s="13"/>
      <c r="K1" s="13"/>
      <c r="L1" s="13"/>
    </row>
    <row r="2" spans="1:17" x14ac:dyDescent="0.25">
      <c r="A2" s="13"/>
      <c r="B2" s="2" t="s">
        <v>265</v>
      </c>
      <c r="C2" s="21"/>
      <c r="D2" s="13"/>
      <c r="E2" s="13"/>
      <c r="F2" s="13"/>
      <c r="G2" s="13"/>
      <c r="H2" s="13"/>
      <c r="I2" s="13"/>
      <c r="J2" s="13"/>
      <c r="K2" s="13"/>
      <c r="L2" s="13"/>
    </row>
    <row r="3" spans="1:17" x14ac:dyDescent="0.25">
      <c r="A3" s="13"/>
      <c r="B3" s="11" t="s">
        <v>184</v>
      </c>
      <c r="C3" s="21"/>
      <c r="D3" s="13"/>
      <c r="E3" s="13"/>
      <c r="F3" s="13"/>
      <c r="G3" s="13"/>
      <c r="H3" s="13"/>
      <c r="I3" s="13"/>
      <c r="J3" s="13"/>
      <c r="K3" s="13"/>
      <c r="L3" s="13"/>
    </row>
    <row r="4" spans="1:17" s="19" customFormat="1" ht="40.200000000000003" thickBot="1" x14ac:dyDescent="0.3">
      <c r="A4" s="16" t="str">
        <f>Assumptions!A5</f>
        <v>(Unless Otherwise specified, all financials are in ₹)</v>
      </c>
      <c r="B4" s="17"/>
      <c r="C4" s="22"/>
      <c r="D4" s="17"/>
      <c r="E4" s="56" t="s">
        <v>154</v>
      </c>
      <c r="F4" s="56" t="s">
        <v>175</v>
      </c>
      <c r="G4" s="56" t="s">
        <v>155</v>
      </c>
      <c r="H4" s="56" t="s">
        <v>156</v>
      </c>
      <c r="I4" s="56" t="s">
        <v>157</v>
      </c>
      <c r="J4" s="56" t="s">
        <v>163</v>
      </c>
      <c r="K4" s="56" t="s">
        <v>158</v>
      </c>
      <c r="L4" s="56" t="s">
        <v>159</v>
      </c>
      <c r="M4" s="56" t="s">
        <v>160</v>
      </c>
      <c r="N4" s="61" t="s">
        <v>161</v>
      </c>
      <c r="O4" s="20"/>
      <c r="P4" s="20"/>
      <c r="Q4" s="20"/>
    </row>
    <row r="5" spans="1:17" s="54" customFormat="1" x14ac:dyDescent="0.25">
      <c r="C5" s="55"/>
    </row>
    <row r="6" spans="1:17" s="32" customFormat="1" x14ac:dyDescent="0.25">
      <c r="B6" s="65" t="s">
        <v>176</v>
      </c>
      <c r="C6" s="4"/>
      <c r="D6" s="4"/>
      <c r="E6" s="4"/>
      <c r="F6" s="4"/>
      <c r="G6" s="63">
        <v>0.2</v>
      </c>
      <c r="H6" s="63">
        <v>0.2</v>
      </c>
      <c r="I6" s="63">
        <v>0.15</v>
      </c>
      <c r="J6" s="63">
        <v>0.2</v>
      </c>
      <c r="K6" s="63">
        <v>0.15</v>
      </c>
      <c r="L6" s="64">
        <v>0.1</v>
      </c>
    </row>
    <row r="7" spans="1:17" s="32" customFormat="1" x14ac:dyDescent="0.25">
      <c r="C7" s="23"/>
    </row>
    <row r="8" spans="1:17" x14ac:dyDescent="0.25">
      <c r="A8" s="2" t="s">
        <v>162</v>
      </c>
    </row>
    <row r="10" spans="1:17" x14ac:dyDescent="0.25">
      <c r="B10" t="s">
        <v>164</v>
      </c>
      <c r="E10" s="29">
        <v>120</v>
      </c>
      <c r="F10" s="58">
        <f>E10*Assumptions!E56</f>
        <v>32.400000000000006</v>
      </c>
      <c r="G10" s="57">
        <f>(E10-F10)/E10</f>
        <v>0.73</v>
      </c>
      <c r="H10" s="26">
        <v>5</v>
      </c>
      <c r="I10" s="26">
        <v>4</v>
      </c>
      <c r="J10" s="26">
        <v>4</v>
      </c>
      <c r="K10" s="26">
        <v>5</v>
      </c>
      <c r="L10" s="26">
        <v>5</v>
      </c>
      <c r="M10" s="59">
        <f>(G10/5)*$G$6+(H10/5)*$H$6+(I10/5)*$I$6+(J10/5)*$J$6+(K10/5)*$K$6+(L10/5)*$L$6</f>
        <v>0.7592000000000001</v>
      </c>
      <c r="N10" s="60" t="str">
        <f>IF(M10&gt;=0.75,"🟢 PRIORITY LAUNCH",IF(M10&gt;=0.6,"🟡 INCLUDE IN MENU","🔴 DEFER / TEST"))</f>
        <v>🟢 PRIORITY LAUNCH</v>
      </c>
    </row>
    <row r="11" spans="1:17" x14ac:dyDescent="0.25">
      <c r="B11" t="s">
        <v>165</v>
      </c>
      <c r="E11" s="29">
        <v>180</v>
      </c>
      <c r="F11" s="58">
        <f>E11*0.3</f>
        <v>54</v>
      </c>
      <c r="G11" s="57">
        <f t="shared" ref="G11:G20" si="0">(E11-F11)/E11</f>
        <v>0.7</v>
      </c>
      <c r="H11" s="26">
        <v>4</v>
      </c>
      <c r="I11" s="26">
        <v>4</v>
      </c>
      <c r="J11" s="26">
        <v>3</v>
      </c>
      <c r="K11" s="26">
        <v>4</v>
      </c>
      <c r="L11" s="26">
        <v>5</v>
      </c>
      <c r="M11" s="62">
        <f t="shared" ref="M11:M20" si="1">(G11/5)*$G$6+(H11/5)*$H$6+(I11/5)*$I$6+(J11/5)*$J$6+(K11/5)*$K$6+(L11/5)*$L$6</f>
        <v>0.64800000000000002</v>
      </c>
      <c r="N11" s="60" t="str">
        <f t="shared" ref="N11:N20" si="2">IF(M11&gt;=0.75,"🟢 PRIORITY LAUNCH",IF(M11&gt;=0.6,"🟡 INCLUDE IN MENU","🔴 DEFER / TEST"))</f>
        <v>🟡 INCLUDE IN MENU</v>
      </c>
    </row>
    <row r="12" spans="1:17" x14ac:dyDescent="0.25">
      <c r="B12" t="s">
        <v>166</v>
      </c>
      <c r="E12" s="29">
        <v>200</v>
      </c>
      <c r="F12" s="58">
        <f>E12*0.27</f>
        <v>54</v>
      </c>
      <c r="G12" s="57">
        <f t="shared" si="0"/>
        <v>0.73</v>
      </c>
      <c r="H12" s="26">
        <v>5</v>
      </c>
      <c r="I12" s="26">
        <v>4</v>
      </c>
      <c r="J12" s="26">
        <v>3</v>
      </c>
      <c r="K12" s="26">
        <v>4</v>
      </c>
      <c r="L12" s="26">
        <v>4</v>
      </c>
      <c r="M12" s="62">
        <f t="shared" si="1"/>
        <v>0.66920000000000002</v>
      </c>
      <c r="N12" s="60" t="str">
        <f t="shared" si="2"/>
        <v>🟡 INCLUDE IN MENU</v>
      </c>
    </row>
    <row r="13" spans="1:17" x14ac:dyDescent="0.25">
      <c r="B13" t="s">
        <v>173</v>
      </c>
      <c r="E13" s="29">
        <v>80</v>
      </c>
      <c r="F13" s="58">
        <f>E13*0.35</f>
        <v>28</v>
      </c>
      <c r="G13" s="57">
        <f t="shared" si="0"/>
        <v>0.65</v>
      </c>
      <c r="H13" s="26">
        <v>5</v>
      </c>
      <c r="I13" s="26">
        <v>3</v>
      </c>
      <c r="J13" s="26">
        <v>3</v>
      </c>
      <c r="K13" s="26">
        <v>5</v>
      </c>
      <c r="L13" s="26">
        <v>5</v>
      </c>
      <c r="M13" s="62">
        <f t="shared" si="1"/>
        <v>0.68599999999999994</v>
      </c>
      <c r="N13" s="60" t="str">
        <f t="shared" si="2"/>
        <v>🟡 INCLUDE IN MENU</v>
      </c>
    </row>
    <row r="14" spans="1:17" x14ac:dyDescent="0.25">
      <c r="B14" t="s">
        <v>174</v>
      </c>
      <c r="E14" s="29">
        <v>90</v>
      </c>
      <c r="F14" s="58">
        <f>E14*(Assumptions!E57+Assumptions!E58)</f>
        <v>38.700000000000003</v>
      </c>
      <c r="G14" s="57">
        <f t="shared" si="0"/>
        <v>0.56999999999999995</v>
      </c>
      <c r="H14" s="26">
        <v>4</v>
      </c>
      <c r="I14" s="26">
        <v>5</v>
      </c>
      <c r="J14" s="26">
        <v>3</v>
      </c>
      <c r="K14" s="26">
        <v>4</v>
      </c>
      <c r="L14" s="26">
        <v>5</v>
      </c>
      <c r="M14" s="62">
        <f t="shared" si="1"/>
        <v>0.67279999999999995</v>
      </c>
      <c r="N14" s="60" t="str">
        <f t="shared" si="2"/>
        <v>🟡 INCLUDE IN MENU</v>
      </c>
    </row>
    <row r="15" spans="1:17" x14ac:dyDescent="0.25">
      <c r="B15" t="s">
        <v>167</v>
      </c>
      <c r="E15" s="29">
        <v>160</v>
      </c>
      <c r="F15" s="58">
        <f>E15*0.38</f>
        <v>60.8</v>
      </c>
      <c r="G15" s="57">
        <f t="shared" si="0"/>
        <v>0.62</v>
      </c>
      <c r="H15" s="26">
        <v>3</v>
      </c>
      <c r="I15" s="26">
        <v>3</v>
      </c>
      <c r="J15" s="26">
        <v>3</v>
      </c>
      <c r="K15" s="26">
        <v>3</v>
      </c>
      <c r="L15" s="26">
        <v>3</v>
      </c>
      <c r="M15" s="62">
        <f t="shared" si="1"/>
        <v>0.50479999999999992</v>
      </c>
      <c r="N15" s="60" t="str">
        <f t="shared" si="2"/>
        <v>🔴 DEFER / TEST</v>
      </c>
    </row>
    <row r="16" spans="1:17" x14ac:dyDescent="0.25">
      <c r="B16" t="s">
        <v>168</v>
      </c>
      <c r="E16" s="29">
        <v>150</v>
      </c>
      <c r="F16" s="58">
        <f>E16*0.4</f>
        <v>60</v>
      </c>
      <c r="G16" s="57">
        <f t="shared" si="0"/>
        <v>0.6</v>
      </c>
      <c r="H16" s="26">
        <v>4</v>
      </c>
      <c r="I16" s="26">
        <v>4</v>
      </c>
      <c r="J16" s="26">
        <v>4</v>
      </c>
      <c r="K16" s="26">
        <v>4</v>
      </c>
      <c r="L16" s="26">
        <v>4</v>
      </c>
      <c r="M16" s="62">
        <f t="shared" si="1"/>
        <v>0.66400000000000015</v>
      </c>
      <c r="N16" s="60" t="str">
        <f t="shared" si="2"/>
        <v>🟡 INCLUDE IN MENU</v>
      </c>
    </row>
    <row r="17" spans="2:14" x14ac:dyDescent="0.25">
      <c r="B17" t="s">
        <v>169</v>
      </c>
      <c r="E17" s="29">
        <v>120</v>
      </c>
      <c r="F17" s="58">
        <f>E17*0.36</f>
        <v>43.199999999999996</v>
      </c>
      <c r="G17" s="57">
        <f t="shared" si="0"/>
        <v>0.64000000000000012</v>
      </c>
      <c r="H17" s="26">
        <v>3</v>
      </c>
      <c r="I17" s="26">
        <v>3</v>
      </c>
      <c r="J17" s="26">
        <v>3</v>
      </c>
      <c r="K17" s="26">
        <v>3</v>
      </c>
      <c r="L17" s="26">
        <v>2</v>
      </c>
      <c r="M17" s="62">
        <f t="shared" si="1"/>
        <v>0.48560000000000003</v>
      </c>
      <c r="N17" s="60" t="str">
        <f t="shared" si="2"/>
        <v>🔴 DEFER / TEST</v>
      </c>
    </row>
    <row r="18" spans="2:14" x14ac:dyDescent="0.25">
      <c r="B18" t="s">
        <v>170</v>
      </c>
      <c r="E18" s="29">
        <v>220</v>
      </c>
      <c r="F18" s="58">
        <f>E18*(Assumptions!E56-Assumptions!E59)</f>
        <v>48.400000000000006</v>
      </c>
      <c r="G18" s="57">
        <f t="shared" si="0"/>
        <v>0.78</v>
      </c>
      <c r="H18" s="26">
        <v>4</v>
      </c>
      <c r="I18" s="26">
        <v>3</v>
      </c>
      <c r="J18" s="26">
        <v>3</v>
      </c>
      <c r="K18" s="26">
        <v>4</v>
      </c>
      <c r="L18" s="26">
        <v>3</v>
      </c>
      <c r="M18" s="62">
        <f t="shared" si="1"/>
        <v>0.58119999999999994</v>
      </c>
      <c r="N18" s="60" t="str">
        <f t="shared" si="2"/>
        <v>🔴 DEFER / TEST</v>
      </c>
    </row>
    <row r="19" spans="2:14" x14ac:dyDescent="0.25">
      <c r="B19" t="s">
        <v>171</v>
      </c>
      <c r="E19" s="29">
        <v>130</v>
      </c>
      <c r="F19" s="58">
        <f>E19*0.32</f>
        <v>41.6</v>
      </c>
      <c r="G19" s="57">
        <f t="shared" si="0"/>
        <v>0.68</v>
      </c>
      <c r="H19" s="26">
        <v>5</v>
      </c>
      <c r="I19" s="26">
        <v>5</v>
      </c>
      <c r="J19" s="26">
        <v>2</v>
      </c>
      <c r="K19" s="26">
        <v>5</v>
      </c>
      <c r="L19" s="26">
        <v>3</v>
      </c>
      <c r="M19" s="62">
        <f t="shared" si="1"/>
        <v>0.66720000000000002</v>
      </c>
      <c r="N19" s="60" t="str">
        <f t="shared" si="2"/>
        <v>🟡 INCLUDE IN MENU</v>
      </c>
    </row>
    <row r="20" spans="2:14" x14ac:dyDescent="0.25">
      <c r="B20" t="s">
        <v>172</v>
      </c>
      <c r="E20" s="29">
        <v>190</v>
      </c>
      <c r="F20" s="58">
        <f>E20*0.31</f>
        <v>58.9</v>
      </c>
      <c r="G20" s="57">
        <f t="shared" si="0"/>
        <v>0.69</v>
      </c>
      <c r="H20" s="26">
        <v>5</v>
      </c>
      <c r="I20" s="26">
        <v>4</v>
      </c>
      <c r="J20" s="26">
        <v>4</v>
      </c>
      <c r="K20" s="26">
        <v>5</v>
      </c>
      <c r="L20" s="26">
        <v>5</v>
      </c>
      <c r="M20" s="62">
        <f t="shared" si="1"/>
        <v>0.75760000000000005</v>
      </c>
      <c r="N20" s="60" t="str">
        <f t="shared" si="2"/>
        <v>🟢 PRIORITY LAUNCH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C01B-597F-475F-991A-12B42DD64D6A}">
  <dimension ref="A1:P28"/>
  <sheetViews>
    <sheetView showGridLines="0" workbookViewId="0">
      <pane xSplit="3" ySplit="5" topLeftCell="D6" activePane="bottomRight" state="frozen"/>
      <selection activeCell="C5" sqref="C5"/>
      <selection pane="topRight" activeCell="C5" sqref="C5"/>
      <selection pane="bottomLeft" activeCell="C5" sqref="C5"/>
      <selection pane="bottomRight" activeCell="F38" sqref="F38"/>
    </sheetView>
  </sheetViews>
  <sheetFormatPr defaultRowHeight="13.2" x14ac:dyDescent="0.25"/>
  <cols>
    <col min="1" max="1" width="3.5546875" customWidth="1"/>
    <col min="2" max="2" width="38" customWidth="1"/>
    <col min="3" max="3" width="7.33203125" style="23" customWidth="1"/>
    <col min="4" max="4" width="4.109375" customWidth="1"/>
    <col min="5" max="5" width="15.44140625" customWidth="1"/>
    <col min="6" max="6" width="16.77734375" customWidth="1"/>
    <col min="7" max="7" width="18" customWidth="1"/>
    <col min="8" max="8" width="17.33203125" customWidth="1"/>
    <col min="9" max="9" width="22.5546875" customWidth="1"/>
    <col min="10" max="10" width="24.5546875" customWidth="1"/>
    <col min="11" max="11" width="37.5546875" customWidth="1"/>
    <col min="13" max="13" width="25.77734375" customWidth="1"/>
  </cols>
  <sheetData>
    <row r="1" spans="1:16" x14ac:dyDescent="0.25">
      <c r="A1" s="13"/>
      <c r="B1" s="13"/>
      <c r="C1" s="21"/>
      <c r="D1" s="13"/>
      <c r="E1" s="13"/>
      <c r="F1" s="13"/>
      <c r="G1" s="13"/>
      <c r="H1" s="13"/>
      <c r="I1" s="13"/>
      <c r="J1" s="13"/>
      <c r="K1" s="13"/>
    </row>
    <row r="2" spans="1:16" x14ac:dyDescent="0.25">
      <c r="A2" s="13"/>
      <c r="B2" s="2" t="s">
        <v>183</v>
      </c>
      <c r="C2" s="21"/>
      <c r="D2" s="13"/>
      <c r="E2" s="13"/>
      <c r="F2" s="13"/>
      <c r="G2" s="13"/>
      <c r="H2" s="13"/>
      <c r="I2" s="13"/>
      <c r="J2" s="13"/>
      <c r="K2" s="13"/>
    </row>
    <row r="3" spans="1:16" x14ac:dyDescent="0.25">
      <c r="A3" s="13"/>
      <c r="B3" s="13" t="s">
        <v>184</v>
      </c>
      <c r="C3" s="21"/>
      <c r="D3" s="13"/>
      <c r="E3" s="13"/>
      <c r="F3" s="13"/>
      <c r="G3" s="13"/>
      <c r="H3" s="13"/>
      <c r="I3" s="13"/>
      <c r="J3" s="13"/>
      <c r="K3" s="13"/>
    </row>
    <row r="4" spans="1:16" x14ac:dyDescent="0.25">
      <c r="A4" s="13"/>
      <c r="B4" s="13"/>
      <c r="C4" s="21"/>
      <c r="D4" s="13"/>
      <c r="E4" s="13"/>
      <c r="F4" s="13"/>
      <c r="G4" s="13"/>
      <c r="H4" s="13"/>
      <c r="I4" s="13"/>
      <c r="J4" s="13"/>
      <c r="K4" s="13"/>
    </row>
    <row r="5" spans="1:16" s="19" customFormat="1" ht="27" thickBot="1" x14ac:dyDescent="0.3">
      <c r="A5" s="16" t="str">
        <f>Assumptions!A5</f>
        <v>(Unless Otherwise specified, all financials are in ₹)</v>
      </c>
      <c r="B5" s="66"/>
      <c r="C5" s="22"/>
      <c r="D5" s="17"/>
      <c r="E5" s="68" t="s">
        <v>178</v>
      </c>
      <c r="F5" s="68" t="s">
        <v>179</v>
      </c>
      <c r="G5" s="68" t="s">
        <v>180</v>
      </c>
      <c r="H5" s="68" t="s">
        <v>181</v>
      </c>
      <c r="I5" s="68" t="s">
        <v>231</v>
      </c>
      <c r="J5" s="68" t="s">
        <v>230</v>
      </c>
      <c r="K5" s="61" t="s">
        <v>182</v>
      </c>
      <c r="L5" s="20"/>
      <c r="M5" s="20"/>
      <c r="N5" s="20"/>
      <c r="O5" s="20"/>
      <c r="P5" s="20"/>
    </row>
    <row r="6" spans="1:16" x14ac:dyDescent="0.25">
      <c r="E6" s="8"/>
      <c r="F6" s="8"/>
      <c r="G6" s="8"/>
      <c r="H6" s="8"/>
      <c r="I6" s="8"/>
      <c r="J6" s="8"/>
      <c r="K6" s="60"/>
    </row>
    <row r="7" spans="1:16" x14ac:dyDescent="0.25">
      <c r="A7" s="2" t="s">
        <v>195</v>
      </c>
      <c r="E7" s="8"/>
      <c r="F7" s="8"/>
      <c r="G7" s="8"/>
      <c r="H7" s="8"/>
      <c r="I7" s="8"/>
      <c r="J7" s="8"/>
      <c r="K7" s="60"/>
    </row>
    <row r="8" spans="1:16" x14ac:dyDescent="0.25">
      <c r="E8" s="8"/>
      <c r="F8" s="8"/>
      <c r="G8" s="8"/>
      <c r="H8" s="8"/>
      <c r="I8" s="8"/>
      <c r="J8" s="8"/>
      <c r="K8" s="60"/>
    </row>
    <row r="9" spans="1:16" x14ac:dyDescent="0.25">
      <c r="B9" s="52" t="s">
        <v>177</v>
      </c>
      <c r="E9" s="8"/>
      <c r="F9" s="8"/>
      <c r="G9" s="8"/>
      <c r="H9" s="8"/>
      <c r="I9" s="8"/>
      <c r="J9" s="8"/>
      <c r="K9" s="60"/>
    </row>
    <row r="10" spans="1:16" x14ac:dyDescent="0.25">
      <c r="B10" t="s">
        <v>185</v>
      </c>
      <c r="E10" s="43">
        <v>5</v>
      </c>
      <c r="F10" s="43">
        <v>5</v>
      </c>
      <c r="G10" s="43">
        <v>4</v>
      </c>
      <c r="H10" s="43">
        <v>2</v>
      </c>
      <c r="I10" s="69">
        <v>5</v>
      </c>
      <c r="J10" s="8">
        <f>(E10*0.25+F10*0.25+G10*0.2+H10*0.15+I10*0.15)/5</f>
        <v>0.86999999999999988</v>
      </c>
      <c r="K10" s="60" t="s">
        <v>201</v>
      </c>
    </row>
    <row r="11" spans="1:16" x14ac:dyDescent="0.25">
      <c r="B11" t="s">
        <v>186</v>
      </c>
      <c r="E11" s="43">
        <v>5</v>
      </c>
      <c r="F11" s="43">
        <v>5</v>
      </c>
      <c r="G11" s="43">
        <v>5</v>
      </c>
      <c r="H11" s="43">
        <v>3</v>
      </c>
      <c r="I11" s="69">
        <v>4</v>
      </c>
      <c r="J11" s="8">
        <f t="shared" ref="J11:J19" si="0">(E11*0.25+F11*0.25+G11*0.2+H11*0.15+I11*0.15)/5</f>
        <v>0.90999999999999992</v>
      </c>
      <c r="K11" s="60" t="s">
        <v>201</v>
      </c>
    </row>
    <row r="12" spans="1:16" x14ac:dyDescent="0.25">
      <c r="B12" t="s">
        <v>187</v>
      </c>
      <c r="E12" s="43">
        <v>5</v>
      </c>
      <c r="F12" s="43">
        <v>5</v>
      </c>
      <c r="G12" s="43">
        <v>4</v>
      </c>
      <c r="H12" s="43">
        <v>3</v>
      </c>
      <c r="I12" s="69">
        <v>4</v>
      </c>
      <c r="J12" s="8">
        <f t="shared" si="0"/>
        <v>0.86999999999999988</v>
      </c>
      <c r="K12" s="60" t="s">
        <v>201</v>
      </c>
    </row>
    <row r="13" spans="1:16" x14ac:dyDescent="0.25">
      <c r="B13" t="s">
        <v>188</v>
      </c>
      <c r="E13" s="43">
        <v>4</v>
      </c>
      <c r="F13" s="43">
        <v>4</v>
      </c>
      <c r="G13" s="43">
        <v>3</v>
      </c>
      <c r="H13" s="43">
        <v>4</v>
      </c>
      <c r="I13" s="69">
        <v>3</v>
      </c>
      <c r="J13" s="8">
        <f t="shared" si="0"/>
        <v>0.73000000000000009</v>
      </c>
      <c r="K13" s="60" t="s">
        <v>202</v>
      </c>
    </row>
    <row r="14" spans="1:16" x14ac:dyDescent="0.25">
      <c r="B14" t="s">
        <v>189</v>
      </c>
      <c r="E14" s="43">
        <v>4</v>
      </c>
      <c r="F14" s="43">
        <v>4</v>
      </c>
      <c r="G14" s="43">
        <v>3</v>
      </c>
      <c r="H14" s="43">
        <v>4</v>
      </c>
      <c r="I14" s="69">
        <v>3</v>
      </c>
      <c r="J14" s="8">
        <f t="shared" si="0"/>
        <v>0.73000000000000009</v>
      </c>
      <c r="K14" s="60" t="s">
        <v>202</v>
      </c>
    </row>
    <row r="15" spans="1:16" x14ac:dyDescent="0.25">
      <c r="B15" t="s">
        <v>190</v>
      </c>
      <c r="E15" s="43">
        <v>3</v>
      </c>
      <c r="F15" s="43">
        <v>4</v>
      </c>
      <c r="G15" s="43">
        <v>3</v>
      </c>
      <c r="H15" s="43">
        <v>4</v>
      </c>
      <c r="I15" s="69">
        <v>3</v>
      </c>
      <c r="J15" s="8">
        <f t="shared" si="0"/>
        <v>0.68</v>
      </c>
      <c r="K15" s="60" t="s">
        <v>203</v>
      </c>
    </row>
    <row r="16" spans="1:16" x14ac:dyDescent="0.25">
      <c r="B16" t="s">
        <v>191</v>
      </c>
      <c r="E16" s="43">
        <v>3</v>
      </c>
      <c r="F16" s="43">
        <v>3</v>
      </c>
      <c r="G16" s="43">
        <v>3</v>
      </c>
      <c r="H16" s="43">
        <v>4</v>
      </c>
      <c r="I16" s="69">
        <v>3</v>
      </c>
      <c r="J16" s="8">
        <f t="shared" si="0"/>
        <v>0.63000000000000012</v>
      </c>
      <c r="K16" s="60" t="s">
        <v>203</v>
      </c>
    </row>
    <row r="17" spans="1:11" x14ac:dyDescent="0.25">
      <c r="B17" t="s">
        <v>192</v>
      </c>
      <c r="E17" s="43">
        <v>4</v>
      </c>
      <c r="F17" s="43">
        <v>4</v>
      </c>
      <c r="G17" s="43">
        <v>4</v>
      </c>
      <c r="H17" s="43">
        <v>5</v>
      </c>
      <c r="I17" s="69">
        <v>2</v>
      </c>
      <c r="J17" s="8">
        <f t="shared" si="0"/>
        <v>0.76999999999999991</v>
      </c>
      <c r="K17" s="60" t="s">
        <v>202</v>
      </c>
    </row>
    <row r="18" spans="1:11" x14ac:dyDescent="0.25">
      <c r="B18" t="s">
        <v>193</v>
      </c>
      <c r="E18" s="43">
        <v>3</v>
      </c>
      <c r="F18" s="43">
        <v>4</v>
      </c>
      <c r="G18" s="43">
        <v>3</v>
      </c>
      <c r="H18" s="43">
        <v>4</v>
      </c>
      <c r="I18" s="69">
        <v>2</v>
      </c>
      <c r="J18" s="8">
        <f t="shared" si="0"/>
        <v>0.65</v>
      </c>
      <c r="K18" s="60" t="s">
        <v>203</v>
      </c>
    </row>
    <row r="19" spans="1:11" x14ac:dyDescent="0.25">
      <c r="B19" t="s">
        <v>194</v>
      </c>
      <c r="E19" s="43">
        <v>3</v>
      </c>
      <c r="F19" s="43">
        <v>3</v>
      </c>
      <c r="G19" s="43">
        <v>3</v>
      </c>
      <c r="H19" s="43">
        <v>5</v>
      </c>
      <c r="I19" s="69">
        <v>2</v>
      </c>
      <c r="J19" s="8">
        <f t="shared" si="0"/>
        <v>0.63</v>
      </c>
      <c r="K19" s="60" t="s">
        <v>203</v>
      </c>
    </row>
    <row r="20" spans="1:11" s="19" customFormat="1" ht="13.8" thickBot="1" x14ac:dyDescent="0.3">
      <c r="C20" s="81"/>
    </row>
    <row r="22" spans="1:11" x14ac:dyDescent="0.25">
      <c r="A22" s="2" t="s">
        <v>196</v>
      </c>
    </row>
    <row r="24" spans="1:11" s="1" customFormat="1" ht="21" customHeight="1" x14ac:dyDescent="0.25">
      <c r="A24" s="78"/>
      <c r="B24" s="79" t="s">
        <v>197</v>
      </c>
      <c r="C24" s="78"/>
      <c r="D24" s="78"/>
      <c r="E24" s="79" t="s">
        <v>204</v>
      </c>
      <c r="F24" s="79" t="s">
        <v>205</v>
      </c>
      <c r="G24" s="79" t="s">
        <v>206</v>
      </c>
      <c r="H24" s="79" t="s">
        <v>207</v>
      </c>
      <c r="I24" s="79" t="s">
        <v>209</v>
      </c>
      <c r="J24" s="79" t="s">
        <v>210</v>
      </c>
      <c r="K24" s="80" t="s">
        <v>208</v>
      </c>
    </row>
    <row r="25" spans="1:11" ht="49.8" customHeight="1" x14ac:dyDescent="0.25">
      <c r="A25" s="32"/>
      <c r="B25" s="75" t="s">
        <v>198</v>
      </c>
      <c r="C25" s="75"/>
      <c r="D25" s="75"/>
      <c r="E25" s="76" t="s">
        <v>211</v>
      </c>
      <c r="F25" s="76" t="s">
        <v>212</v>
      </c>
      <c r="G25" s="110">
        <f>Assumptions!E42</f>
        <v>8</v>
      </c>
      <c r="H25" s="76" t="s">
        <v>213</v>
      </c>
      <c r="I25" s="76" t="s">
        <v>215</v>
      </c>
      <c r="J25" s="76" t="s">
        <v>216</v>
      </c>
      <c r="K25" s="77" t="s">
        <v>214</v>
      </c>
    </row>
    <row r="26" spans="1:11" s="73" customFormat="1" ht="61.2" customHeight="1" x14ac:dyDescent="0.25">
      <c r="A26" s="70"/>
      <c r="B26" s="70" t="s">
        <v>199</v>
      </c>
      <c r="C26" s="70"/>
      <c r="D26" s="70"/>
      <c r="E26" s="71" t="s">
        <v>217</v>
      </c>
      <c r="F26" s="71" t="s">
        <v>218</v>
      </c>
      <c r="G26" s="111">
        <f>Assumptions!E44</f>
        <v>20</v>
      </c>
      <c r="H26" s="71" t="s">
        <v>219</v>
      </c>
      <c r="I26" s="71" t="s">
        <v>221</v>
      </c>
      <c r="J26" s="71" t="s">
        <v>222</v>
      </c>
      <c r="K26" s="72" t="s">
        <v>220</v>
      </c>
    </row>
    <row r="27" spans="1:11" ht="39.6" x14ac:dyDescent="0.25">
      <c r="A27" s="32"/>
      <c r="B27" s="75" t="s">
        <v>200</v>
      </c>
      <c r="C27" s="75"/>
      <c r="D27" s="75"/>
      <c r="E27" s="76" t="s">
        <v>223</v>
      </c>
      <c r="F27" s="76" t="s">
        <v>224</v>
      </c>
      <c r="G27" s="76" t="s">
        <v>225</v>
      </c>
      <c r="H27" s="76" t="s">
        <v>226</v>
      </c>
      <c r="I27" s="76" t="s">
        <v>228</v>
      </c>
      <c r="J27" s="76" t="s">
        <v>229</v>
      </c>
      <c r="K27" s="77" t="s">
        <v>227</v>
      </c>
    </row>
    <row r="28" spans="1:1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A4A2-2406-4E6D-ACF9-CC0654B48CF3}">
  <dimension ref="A1:N43"/>
  <sheetViews>
    <sheetView showGridLines="0" workbookViewId="0">
      <pane xSplit="3" ySplit="5" topLeftCell="D6" activePane="bottomRight" state="frozen"/>
      <selection activeCell="C5" sqref="C5"/>
      <selection pane="topRight" activeCell="C5" sqref="C5"/>
      <selection pane="bottomLeft" activeCell="C5" sqref="C5"/>
      <selection pane="bottomRight" activeCell="C45" sqref="C45"/>
    </sheetView>
  </sheetViews>
  <sheetFormatPr defaultRowHeight="13.2" x14ac:dyDescent="0.25"/>
  <cols>
    <col min="1" max="1" width="3.5546875" customWidth="1"/>
    <col min="2" max="2" width="38.88671875" customWidth="1"/>
    <col min="3" max="3" width="7.33203125" style="82" customWidth="1"/>
    <col min="4" max="4" width="4.109375" customWidth="1"/>
    <col min="5" max="5" width="15.77734375" customWidth="1"/>
    <col min="6" max="6" width="18" customWidth="1"/>
    <col min="7" max="7" width="15.109375" customWidth="1"/>
    <col min="8" max="8" width="9.21875" customWidth="1"/>
    <col min="9" max="9" width="12.77734375" customWidth="1"/>
  </cols>
  <sheetData>
    <row r="1" spans="1:14" x14ac:dyDescent="0.25">
      <c r="C1" s="21"/>
      <c r="D1" s="13"/>
      <c r="E1" s="13"/>
      <c r="F1" s="13"/>
      <c r="G1" s="13"/>
      <c r="H1" s="13"/>
      <c r="I1" s="13"/>
    </row>
    <row r="2" spans="1:14" x14ac:dyDescent="0.25">
      <c r="B2" s="2" t="s">
        <v>263</v>
      </c>
      <c r="C2" s="21"/>
      <c r="D2" s="13"/>
      <c r="E2" s="13"/>
      <c r="F2" s="13"/>
      <c r="G2" s="13"/>
      <c r="H2" s="13"/>
      <c r="I2" s="13"/>
    </row>
    <row r="3" spans="1:14" x14ac:dyDescent="0.25">
      <c r="A3" s="13"/>
      <c r="B3" s="13" t="s">
        <v>264</v>
      </c>
      <c r="C3" s="21"/>
      <c r="D3" s="13"/>
      <c r="E3" s="13"/>
      <c r="F3" s="13"/>
      <c r="G3" s="13"/>
      <c r="H3" s="13"/>
      <c r="I3" s="13"/>
    </row>
    <row r="4" spans="1:14" x14ac:dyDescent="0.25">
      <c r="A4" s="13"/>
      <c r="C4" s="21"/>
      <c r="D4" s="13"/>
      <c r="E4" s="13"/>
      <c r="F4" s="13"/>
      <c r="G4" s="13"/>
      <c r="H4" s="13"/>
      <c r="I4" s="13"/>
    </row>
    <row r="5" spans="1:14" s="19" customFormat="1" ht="13.8" thickBot="1" x14ac:dyDescent="0.3">
      <c r="A5" s="16" t="s">
        <v>10</v>
      </c>
      <c r="B5" s="17"/>
      <c r="C5" s="22"/>
      <c r="D5" s="17"/>
      <c r="E5" s="49" t="s">
        <v>232</v>
      </c>
      <c r="F5" s="49" t="s">
        <v>233</v>
      </c>
      <c r="G5" s="49" t="s">
        <v>234</v>
      </c>
      <c r="H5" s="85"/>
      <c r="I5" s="20"/>
      <c r="J5" s="20"/>
      <c r="K5" s="20"/>
      <c r="L5" s="20"/>
      <c r="M5" s="20"/>
      <c r="N5" s="20"/>
    </row>
    <row r="6" spans="1:14" x14ac:dyDescent="0.25">
      <c r="F6">
        <v>12</v>
      </c>
    </row>
    <row r="7" spans="1:14" x14ac:dyDescent="0.25">
      <c r="A7" s="2" t="s">
        <v>235</v>
      </c>
    </row>
    <row r="9" spans="1:14" x14ac:dyDescent="0.25">
      <c r="B9" t="s">
        <v>236</v>
      </c>
      <c r="C9" s="82" t="s">
        <v>53</v>
      </c>
      <c r="E9" s="38">
        <f>Assumptions!E33</f>
        <v>220</v>
      </c>
    </row>
    <row r="10" spans="1:14" x14ac:dyDescent="0.25">
      <c r="B10" t="s">
        <v>237</v>
      </c>
      <c r="C10" s="83" t="s">
        <v>24</v>
      </c>
      <c r="E10" s="38">
        <f>Assumptions!E20</f>
        <v>280</v>
      </c>
    </row>
    <row r="11" spans="1:14" x14ac:dyDescent="0.25">
      <c r="B11" t="s">
        <v>238</v>
      </c>
      <c r="C11" s="82" t="s">
        <v>53</v>
      </c>
      <c r="E11" s="84">
        <v>29</v>
      </c>
    </row>
    <row r="12" spans="1:14" x14ac:dyDescent="0.25">
      <c r="B12" s="88" t="s">
        <v>239</v>
      </c>
      <c r="C12" s="92" t="s">
        <v>24</v>
      </c>
      <c r="D12" s="88"/>
      <c r="E12" s="90">
        <f>E11*E10*E9</f>
        <v>1786400</v>
      </c>
      <c r="F12" s="90">
        <f>E12*$F$6</f>
        <v>21436800</v>
      </c>
      <c r="G12" s="9"/>
      <c r="H12" s="9"/>
    </row>
    <row r="14" spans="1:14" x14ac:dyDescent="0.25">
      <c r="A14" s="2" t="s">
        <v>240</v>
      </c>
    </row>
    <row r="16" spans="1:14" x14ac:dyDescent="0.25">
      <c r="B16" t="s">
        <v>241</v>
      </c>
      <c r="C16" s="82" t="s">
        <v>18</v>
      </c>
      <c r="E16" s="39">
        <f>Assumptions!E35</f>
        <v>0.3</v>
      </c>
    </row>
    <row r="17" spans="1:8" x14ac:dyDescent="0.25">
      <c r="B17" t="s">
        <v>250</v>
      </c>
      <c r="C17" s="83" t="s">
        <v>24</v>
      </c>
      <c r="E17" s="40">
        <f>E12*E16</f>
        <v>535920</v>
      </c>
      <c r="F17" s="40">
        <f>E17*$F$6</f>
        <v>6431040</v>
      </c>
    </row>
    <row r="18" spans="1:8" x14ac:dyDescent="0.25">
      <c r="B18" s="88" t="s">
        <v>251</v>
      </c>
      <c r="C18" s="92" t="s">
        <v>24</v>
      </c>
      <c r="D18" s="88"/>
      <c r="E18" s="90">
        <f>E12-E17</f>
        <v>1250480</v>
      </c>
      <c r="F18" s="90">
        <f>E18*$F$6</f>
        <v>15005760</v>
      </c>
      <c r="G18" s="9"/>
      <c r="H18" s="9"/>
    </row>
    <row r="19" spans="1:8" x14ac:dyDescent="0.25">
      <c r="B19" t="s">
        <v>242</v>
      </c>
      <c r="C19" s="82" t="s">
        <v>18</v>
      </c>
      <c r="E19" s="57">
        <f>E18/E12</f>
        <v>0.7</v>
      </c>
    </row>
    <row r="21" spans="1:8" x14ac:dyDescent="0.25">
      <c r="A21" s="2" t="s">
        <v>243</v>
      </c>
    </row>
    <row r="23" spans="1:8" x14ac:dyDescent="0.25">
      <c r="B23" t="s">
        <v>252</v>
      </c>
      <c r="E23" s="86">
        <f>Assumptions!E29*Assumptions!E30</f>
        <v>360000</v>
      </c>
      <c r="F23" s="40">
        <f>E23*$F$6</f>
        <v>4320000</v>
      </c>
      <c r="G23" s="57">
        <f>F23/$F$12</f>
        <v>0.20152261531571877</v>
      </c>
    </row>
    <row r="24" spans="1:8" x14ac:dyDescent="0.25">
      <c r="B24" t="s">
        <v>253</v>
      </c>
      <c r="E24" s="40">
        <f>Assumptions!E31*Assumptions!E32</f>
        <v>264000</v>
      </c>
      <c r="F24" s="40">
        <f>E24*$F$6</f>
        <v>3168000</v>
      </c>
      <c r="G24" s="57">
        <f t="shared" ref="G24:G29" si="0">F24/$F$12</f>
        <v>0.14778325123152711</v>
      </c>
    </row>
    <row r="25" spans="1:8" x14ac:dyDescent="0.25">
      <c r="B25" t="s">
        <v>254</v>
      </c>
      <c r="E25" s="40">
        <f>E12*Assumptions!E28</f>
        <v>107184</v>
      </c>
      <c r="F25" s="40">
        <f>E25*$F$6</f>
        <v>1286208</v>
      </c>
      <c r="G25" s="57">
        <f t="shared" si="0"/>
        <v>0.06</v>
      </c>
    </row>
    <row r="26" spans="1:8" x14ac:dyDescent="0.25">
      <c r="B26" t="s">
        <v>255</v>
      </c>
      <c r="E26" s="40">
        <f>E12*0.05</f>
        <v>89320</v>
      </c>
      <c r="F26" s="40">
        <f>E26*$F$6</f>
        <v>1071840</v>
      </c>
      <c r="G26" s="57">
        <f t="shared" si="0"/>
        <v>0.05</v>
      </c>
    </row>
    <row r="27" spans="1:8" x14ac:dyDescent="0.25">
      <c r="B27" t="s">
        <v>256</v>
      </c>
      <c r="E27" s="84">
        <v>35000</v>
      </c>
      <c r="F27" s="40">
        <f>E27*$F$6</f>
        <v>420000</v>
      </c>
      <c r="G27" s="57">
        <f t="shared" si="0"/>
        <v>1.9592476489028215E-2</v>
      </c>
    </row>
    <row r="28" spans="1:8" x14ac:dyDescent="0.25">
      <c r="B28" t="s">
        <v>257</v>
      </c>
      <c r="E28" s="40">
        <f>E12*0.03</f>
        <v>53592</v>
      </c>
      <c r="F28" s="40">
        <f>E28*$F$6</f>
        <v>643104</v>
      </c>
      <c r="G28" s="57">
        <f t="shared" si="0"/>
        <v>0.03</v>
      </c>
    </row>
    <row r="29" spans="1:8" x14ac:dyDescent="0.25">
      <c r="B29" s="88" t="s">
        <v>258</v>
      </c>
      <c r="C29" s="89"/>
      <c r="D29" s="88"/>
      <c r="E29" s="90">
        <f>SUM(E23:E28)</f>
        <v>909096</v>
      </c>
      <c r="F29" s="90">
        <f>SUM(F23:F28)</f>
        <v>10909152</v>
      </c>
      <c r="G29" s="93">
        <f t="shared" si="0"/>
        <v>0.50889834303627413</v>
      </c>
      <c r="H29" s="9"/>
    </row>
    <row r="31" spans="1:8" x14ac:dyDescent="0.25">
      <c r="A31" s="2" t="s">
        <v>244</v>
      </c>
    </row>
    <row r="33" spans="1:8" x14ac:dyDescent="0.25">
      <c r="B33" s="2" t="s">
        <v>260</v>
      </c>
      <c r="C33" s="91" t="s">
        <v>24</v>
      </c>
      <c r="D33" s="2"/>
      <c r="E33" s="87">
        <f>E18-E29</f>
        <v>341384</v>
      </c>
      <c r="F33" s="87">
        <f t="shared" ref="F33" si="1">F18-F29</f>
        <v>4096608</v>
      </c>
      <c r="G33" s="2"/>
      <c r="H33" s="2"/>
    </row>
    <row r="34" spans="1:8" x14ac:dyDescent="0.25">
      <c r="B34" t="s">
        <v>245</v>
      </c>
      <c r="C34" s="82" t="s">
        <v>18</v>
      </c>
      <c r="E34" s="57">
        <f>E33/E12</f>
        <v>0.19110165696372594</v>
      </c>
      <c r="F34" s="57">
        <f t="shared" ref="F34" si="2">F33/F12</f>
        <v>0.19110165696372594</v>
      </c>
    </row>
    <row r="36" spans="1:8" x14ac:dyDescent="0.25">
      <c r="A36" s="2" t="s">
        <v>246</v>
      </c>
    </row>
    <row r="38" spans="1:8" x14ac:dyDescent="0.25">
      <c r="B38" t="s">
        <v>259</v>
      </c>
      <c r="C38" s="83" t="s">
        <v>24</v>
      </c>
      <c r="E38" s="38">
        <f>Assumptions!E27*100000</f>
        <v>15000000</v>
      </c>
      <c r="F38" s="40">
        <f t="shared" ref="F38" si="3">E38*$F$6</f>
        <v>180000000</v>
      </c>
    </row>
    <row r="39" spans="1:8" x14ac:dyDescent="0.25">
      <c r="B39" t="s">
        <v>247</v>
      </c>
      <c r="C39" s="83" t="s">
        <v>24</v>
      </c>
      <c r="E39" s="40">
        <f>E33</f>
        <v>341384</v>
      </c>
      <c r="F39" s="40">
        <f t="shared" ref="F39" si="4">F33</f>
        <v>4096608</v>
      </c>
    </row>
    <row r="40" spans="1:8" x14ac:dyDescent="0.25">
      <c r="B40" t="s">
        <v>248</v>
      </c>
      <c r="C40" s="82" t="s">
        <v>261</v>
      </c>
      <c r="E40" s="40">
        <f>IF(E39&gt;0,E38/E39,"Negative EBITDA")</f>
        <v>43.938790335809529</v>
      </c>
    </row>
    <row r="41" spans="1:8" x14ac:dyDescent="0.25">
      <c r="B41" t="s">
        <v>249</v>
      </c>
      <c r="C41" s="82" t="s">
        <v>262</v>
      </c>
      <c r="E41" s="40">
        <f>IF(ISNUMBER(E40),E40/12,"N/A")</f>
        <v>3.6615658613174609</v>
      </c>
    </row>
    <row r="43" spans="1:8" s="1" customFormat="1" x14ac:dyDescent="0.25">
      <c r="C43" s="9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Market Sizing</vt:lpstr>
      <vt:lpstr>Competitive Landscape</vt:lpstr>
      <vt:lpstr>Product Profitability</vt:lpstr>
      <vt:lpstr>GTM &amp; City Prioritisation</vt:lpstr>
      <vt:lpstr>Unit Economics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2026-06-08T09:25:04Z</dcterms:created>
  <dcterms:modified xsi:type="dcterms:W3CDTF">2026-06-08T13:03:26Z</dcterms:modified>
</cp:coreProperties>
</file>
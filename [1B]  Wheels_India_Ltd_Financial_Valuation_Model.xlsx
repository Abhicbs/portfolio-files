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\Downloads\"/>
    </mc:Choice>
  </mc:AlternateContent>
  <xr:revisionPtr revIDLastSave="0" documentId="8_{8414FE4B-48C0-4ECE-8647-FD98361C6D90}" xr6:coauthVersionLast="47" xr6:coauthVersionMax="47" xr10:uidLastSave="{00000000-0000-0000-0000-000000000000}"/>
  <bookViews>
    <workbookView xWindow="-108" yWindow="-108" windowWidth="23256" windowHeight="13896" firstSheet="2" activeTab="4" xr2:uid="{321EABC5-A3B6-4E06-9D5C-4B20180094E6}"/>
  </bookViews>
  <sheets>
    <sheet name="Cover" sheetId="22" r:id="rId1"/>
    <sheet name="Valuation Summary" sheetId="24" r:id="rId2"/>
    <sheet name="Assumptions" sheetId="9" r:id="rId3"/>
    <sheet name="Scenario Assumptions" sheetId="23" r:id="rId4"/>
    <sheet name="Asset Schedule" sheetId="10" r:id="rId5"/>
    <sheet name="Debt Schedule" sheetId="11" r:id="rId6"/>
    <sheet name="IS" sheetId="3" r:id="rId7"/>
    <sheet name="BS" sheetId="15" r:id="rId8"/>
    <sheet name="CF" sheetId="16" r:id="rId9"/>
    <sheet name="Valuation" sheetId="19" r:id="rId10"/>
    <sheet name="Ratios" sheetId="18" r:id="rId11"/>
    <sheet name="Beta Calculation" sheetId="21" r:id="rId12"/>
  </sheets>
  <externalReferences>
    <externalReference r:id="rId13"/>
  </externalReferences>
  <definedNames>
    <definedName name="Company_name">[1]Assumptions!$F$7</definedName>
    <definedName name="Country">[1]Assumptions!$I$22</definedName>
    <definedName name="Currency">[1]Assumptions!$I$15</definedName>
    <definedName name="Diluted_Shares_Outstanding">[1]DCF!$D$10</definedName>
    <definedName name="EBITDA_Multiple">[1]Assumptions!$AM$62</definedName>
    <definedName name="Enterprise_Value">[1]DCF!$D$17</definedName>
    <definedName name="Equity_Value">[1]DCF!$D$11</definedName>
    <definedName name="Hist_Year">[1]Assumptions!$I$26</definedName>
    <definedName name="Share_price">[1]Assumptions!$I$19</definedName>
    <definedName name="tax_rate">[1]Assumptions!$I$41</definedName>
    <definedName name="Terminal_growth_rate">[1]Assumptions!$AF$62</definedName>
    <definedName name="Ticker_Name">[1]Assumptions!$F$8</definedName>
    <definedName name="Unit_Text">[1]Assumptions!$I$16</definedName>
    <definedName name="Val_date">[1]Assumptions!$I$20</definedName>
    <definedName name="WACC">[1]DCF!$D$53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3" i="23" l="1"/>
  <c r="T13" i="23"/>
  <c r="S13" i="23"/>
  <c r="R13" i="23"/>
  <c r="Q13" i="23"/>
  <c r="I13" i="23"/>
  <c r="H13" i="23"/>
  <c r="G13" i="23"/>
  <c r="F13" i="23"/>
  <c r="E13" i="23"/>
  <c r="I14" i="23"/>
  <c r="H14" i="23"/>
  <c r="G14" i="23"/>
  <c r="F14" i="23"/>
  <c r="E14" i="23"/>
  <c r="U14" i="23"/>
  <c r="T14" i="23"/>
  <c r="S14" i="23"/>
  <c r="R14" i="23"/>
  <c r="Q14" i="23"/>
  <c r="E22" i="24"/>
  <c r="D22" i="24"/>
  <c r="C22" i="24"/>
  <c r="O8" i="23"/>
  <c r="N8" i="23"/>
  <c r="M8" i="23"/>
  <c r="L8" i="23"/>
  <c r="K8" i="23"/>
  <c r="E17" i="24"/>
  <c r="D17" i="24"/>
  <c r="C17" i="24"/>
  <c r="C14" i="24"/>
  <c r="D14" i="24" s="1"/>
  <c r="E14" i="24" s="1"/>
  <c r="U18" i="23"/>
  <c r="T18" i="23"/>
  <c r="S18" i="23"/>
  <c r="R18" i="23"/>
  <c r="Q18" i="23"/>
  <c r="E18" i="23"/>
  <c r="I18" i="23"/>
  <c r="H18" i="23"/>
  <c r="G18" i="23"/>
  <c r="F18" i="23"/>
  <c r="D6" i="24"/>
  <c r="U7" i="23"/>
  <c r="T7" i="23"/>
  <c r="S7" i="23"/>
  <c r="R7" i="23"/>
  <c r="Q7" i="23"/>
  <c r="O14" i="23"/>
  <c r="N14" i="23"/>
  <c r="M14" i="23"/>
  <c r="L14" i="23"/>
  <c r="K14" i="23"/>
  <c r="O10" i="23"/>
  <c r="U10" i="23" s="1"/>
  <c r="N10" i="23"/>
  <c r="H10" i="23" s="1"/>
  <c r="M10" i="23"/>
  <c r="G10" i="23" s="1"/>
  <c r="L10" i="23"/>
  <c r="F10" i="23" s="1"/>
  <c r="K10" i="23"/>
  <c r="E10" i="23" s="1"/>
  <c r="O13" i="23"/>
  <c r="N13" i="23"/>
  <c r="M13" i="23"/>
  <c r="L13" i="23"/>
  <c r="K13" i="23"/>
  <c r="I7" i="23"/>
  <c r="H7" i="23"/>
  <c r="G7" i="23"/>
  <c r="F7" i="23"/>
  <c r="E7" i="23"/>
  <c r="O4" i="23"/>
  <c r="N4" i="23"/>
  <c r="M4" i="23"/>
  <c r="L4" i="23"/>
  <c r="K4" i="23"/>
  <c r="O5" i="23"/>
  <c r="O7" i="23" s="1"/>
  <c r="N5" i="23"/>
  <c r="N7" i="23" s="1"/>
  <c r="M5" i="23"/>
  <c r="M7" i="23" s="1"/>
  <c r="L5" i="23"/>
  <c r="L7" i="23" s="1"/>
  <c r="K5" i="23"/>
  <c r="K7" i="23" s="1"/>
  <c r="I2" i="23"/>
  <c r="O2" i="23" s="1"/>
  <c r="U2" i="23" s="1"/>
  <c r="H2" i="23"/>
  <c r="N2" i="23" s="1"/>
  <c r="T2" i="23" s="1"/>
  <c r="G2" i="23"/>
  <c r="M2" i="23" s="1"/>
  <c r="S2" i="23" s="1"/>
  <c r="F2" i="23"/>
  <c r="L2" i="23" s="1"/>
  <c r="R2" i="23" s="1"/>
  <c r="E2" i="23"/>
  <c r="K2" i="23" s="1"/>
  <c r="Q2" i="23" s="1"/>
  <c r="A2" i="23"/>
  <c r="B16" i="22"/>
  <c r="B17" i="22" s="1"/>
  <c r="B18" i="22" s="1"/>
  <c r="B19" i="22" s="1"/>
  <c r="B20" i="22" s="1"/>
  <c r="B21" i="22" s="1"/>
  <c r="B22" i="22" s="1"/>
  <c r="B23" i="22" s="1"/>
  <c r="B24" i="22" s="1"/>
  <c r="H47" i="18"/>
  <c r="H45" i="18"/>
  <c r="H46" i="18"/>
  <c r="H44" i="18"/>
  <c r="D63" i="19"/>
  <c r="F85" i="19"/>
  <c r="F84" i="19"/>
  <c r="F82" i="19"/>
  <c r="F81" i="19"/>
  <c r="F83" i="19"/>
  <c r="H51" i="19"/>
  <c r="D43" i="19"/>
  <c r="I80" i="19" s="1"/>
  <c r="H80" i="19" s="1"/>
  <c r="G80" i="19" s="1"/>
  <c r="M27" i="11"/>
  <c r="L27" i="11"/>
  <c r="K27" i="11"/>
  <c r="J27" i="11"/>
  <c r="H29" i="11"/>
  <c r="I25" i="11" s="1"/>
  <c r="I27" i="11"/>
  <c r="D93" i="9"/>
  <c r="F63" i="9"/>
  <c r="I11" i="11" s="1"/>
  <c r="I21" i="11" s="1"/>
  <c r="H28" i="19"/>
  <c r="H49" i="19" s="1"/>
  <c r="D85" i="9"/>
  <c r="J80" i="19" l="1"/>
  <c r="K80" i="19" s="1"/>
  <c r="D7" i="24"/>
  <c r="L9" i="23"/>
  <c r="L11" i="23" s="1"/>
  <c r="L12" i="23" s="1"/>
  <c r="L15" i="23" s="1"/>
  <c r="M9" i="23"/>
  <c r="M11" i="23" s="1"/>
  <c r="M12" i="23" s="1"/>
  <c r="M15" i="23" s="1"/>
  <c r="G9" i="23"/>
  <c r="G11" i="23" s="1"/>
  <c r="G12" i="23" s="1"/>
  <c r="I9" i="23"/>
  <c r="C12" i="24" s="1"/>
  <c r="N9" i="23"/>
  <c r="N11" i="23" s="1"/>
  <c r="N12" i="23" s="1"/>
  <c r="N15" i="23" s="1"/>
  <c r="H9" i="23"/>
  <c r="H11" i="23" s="1"/>
  <c r="H12" i="23" s="1"/>
  <c r="H15" i="23" s="1"/>
  <c r="H20" i="23" s="1"/>
  <c r="E9" i="23"/>
  <c r="E11" i="23" s="1"/>
  <c r="E12" i="23" s="1"/>
  <c r="Q9" i="23"/>
  <c r="R9" i="23"/>
  <c r="S9" i="23"/>
  <c r="I10" i="23"/>
  <c r="U9" i="23"/>
  <c r="U11" i="23" s="1"/>
  <c r="U12" i="23" s="1"/>
  <c r="F9" i="23"/>
  <c r="F11" i="23" s="1"/>
  <c r="F12" i="23" s="1"/>
  <c r="F15" i="23" s="1"/>
  <c r="F20" i="23" s="1"/>
  <c r="K9" i="23"/>
  <c r="K11" i="23" s="1"/>
  <c r="K12" i="23" s="1"/>
  <c r="K15" i="23" s="1"/>
  <c r="O9" i="23"/>
  <c r="O11" i="23" s="1"/>
  <c r="O12" i="23" s="1"/>
  <c r="O15" i="23" s="1"/>
  <c r="R10" i="23"/>
  <c r="Q10" i="23"/>
  <c r="S10" i="23"/>
  <c r="T9" i="23"/>
  <c r="T10" i="23"/>
  <c r="I26" i="11"/>
  <c r="I28" i="11" s="1"/>
  <c r="J11" i="11"/>
  <c r="H31" i="19"/>
  <c r="H52" i="19" s="1"/>
  <c r="E12" i="24" l="1"/>
  <c r="R11" i="23"/>
  <c r="R12" i="23" s="1"/>
  <c r="R15" i="23" s="1"/>
  <c r="R20" i="23" s="1"/>
  <c r="I11" i="23"/>
  <c r="I12" i="23" s="1"/>
  <c r="I15" i="23" s="1"/>
  <c r="S11" i="23"/>
  <c r="S12" i="23" s="1"/>
  <c r="S15" i="23" s="1"/>
  <c r="S20" i="23" s="1"/>
  <c r="E15" i="23"/>
  <c r="E20" i="23" s="1"/>
  <c r="Q11" i="23"/>
  <c r="Q12" i="23" s="1"/>
  <c r="Q15" i="23" s="1"/>
  <c r="Q20" i="23" s="1"/>
  <c r="T11" i="23"/>
  <c r="T12" i="23" s="1"/>
  <c r="T15" i="23" s="1"/>
  <c r="T20" i="23" s="1"/>
  <c r="G15" i="23"/>
  <c r="G20" i="23" s="1"/>
  <c r="U15" i="23"/>
  <c r="I29" i="11"/>
  <c r="J25" i="11" s="1"/>
  <c r="J21" i="11"/>
  <c r="K11" i="11"/>
  <c r="H29" i="19"/>
  <c r="H27" i="19"/>
  <c r="H48" i="19" s="1"/>
  <c r="D16" i="19"/>
  <c r="D94" i="9"/>
  <c r="B3" i="21"/>
  <c r="J10" i="21"/>
  <c r="AA4" i="21"/>
  <c r="X4" i="21"/>
  <c r="U4" i="21"/>
  <c r="AB250" i="21"/>
  <c r="Y250" i="21"/>
  <c r="V250" i="21"/>
  <c r="S250" i="21"/>
  <c r="AB249" i="21"/>
  <c r="Y249" i="21"/>
  <c r="V249" i="21"/>
  <c r="S249" i="21"/>
  <c r="AB248" i="21"/>
  <c r="Y248" i="21"/>
  <c r="V248" i="21"/>
  <c r="S248" i="21"/>
  <c r="AB247" i="21"/>
  <c r="Y247" i="21"/>
  <c r="V247" i="21"/>
  <c r="S247" i="21"/>
  <c r="AB246" i="21"/>
  <c r="Y246" i="21"/>
  <c r="V246" i="21"/>
  <c r="S246" i="21"/>
  <c r="AB245" i="21"/>
  <c r="Y245" i="21"/>
  <c r="V245" i="21"/>
  <c r="S245" i="21"/>
  <c r="AB244" i="21"/>
  <c r="Y244" i="21"/>
  <c r="V244" i="21"/>
  <c r="S244" i="21"/>
  <c r="AB243" i="21"/>
  <c r="Y243" i="21"/>
  <c r="V243" i="21"/>
  <c r="S243" i="21"/>
  <c r="AB242" i="21"/>
  <c r="Y242" i="21"/>
  <c r="V242" i="21"/>
  <c r="S242" i="21"/>
  <c r="AB241" i="21"/>
  <c r="Y241" i="21"/>
  <c r="V241" i="21"/>
  <c r="S241" i="21"/>
  <c r="AB240" i="21"/>
  <c r="Y240" i="21"/>
  <c r="V240" i="21"/>
  <c r="S240" i="21"/>
  <c r="AB239" i="21"/>
  <c r="Y239" i="21"/>
  <c r="V239" i="21"/>
  <c r="S239" i="21"/>
  <c r="AB238" i="21"/>
  <c r="Y238" i="21"/>
  <c r="V238" i="21"/>
  <c r="S238" i="21"/>
  <c r="AB237" i="21"/>
  <c r="Y237" i="21"/>
  <c r="V237" i="21"/>
  <c r="S237" i="21"/>
  <c r="AB236" i="21"/>
  <c r="Y236" i="21"/>
  <c r="V236" i="21"/>
  <c r="S236" i="21"/>
  <c r="AB235" i="21"/>
  <c r="Y235" i="21"/>
  <c r="V235" i="21"/>
  <c r="S235" i="21"/>
  <c r="AB234" i="21"/>
  <c r="Y234" i="21"/>
  <c r="V234" i="21"/>
  <c r="S234" i="21"/>
  <c r="AB233" i="21"/>
  <c r="Y233" i="21"/>
  <c r="V233" i="21"/>
  <c r="S233" i="21"/>
  <c r="AB232" i="21"/>
  <c r="Y232" i="21"/>
  <c r="V232" i="21"/>
  <c r="S232" i="21"/>
  <c r="AB231" i="21"/>
  <c r="Y231" i="21"/>
  <c r="V231" i="21"/>
  <c r="S231" i="21"/>
  <c r="AB230" i="21"/>
  <c r="Y230" i="21"/>
  <c r="V230" i="21"/>
  <c r="S230" i="21"/>
  <c r="AB229" i="21"/>
  <c r="Y229" i="21"/>
  <c r="V229" i="21"/>
  <c r="S229" i="21"/>
  <c r="AB228" i="21"/>
  <c r="Y228" i="21"/>
  <c r="V228" i="21"/>
  <c r="S228" i="21"/>
  <c r="AB227" i="21"/>
  <c r="Y227" i="21"/>
  <c r="V227" i="21"/>
  <c r="S227" i="21"/>
  <c r="AB226" i="21"/>
  <c r="Y226" i="21"/>
  <c r="V226" i="21"/>
  <c r="S226" i="21"/>
  <c r="AB225" i="21"/>
  <c r="Y225" i="21"/>
  <c r="V225" i="21"/>
  <c r="S225" i="21"/>
  <c r="AB224" i="21"/>
  <c r="Y224" i="21"/>
  <c r="V224" i="21"/>
  <c r="S224" i="21"/>
  <c r="AB223" i="21"/>
  <c r="Y223" i="21"/>
  <c r="V223" i="21"/>
  <c r="S223" i="21"/>
  <c r="AB222" i="21"/>
  <c r="Y222" i="21"/>
  <c r="V222" i="21"/>
  <c r="S222" i="21"/>
  <c r="AB221" i="21"/>
  <c r="Y221" i="21"/>
  <c r="V221" i="21"/>
  <c r="S221" i="21"/>
  <c r="AB220" i="21"/>
  <c r="Y220" i="21"/>
  <c r="V220" i="21"/>
  <c r="S220" i="21"/>
  <c r="AB219" i="21"/>
  <c r="Y219" i="21"/>
  <c r="V219" i="21"/>
  <c r="S219" i="21"/>
  <c r="AB218" i="21"/>
  <c r="Y218" i="21"/>
  <c r="V218" i="21"/>
  <c r="S218" i="21"/>
  <c r="AB217" i="21"/>
  <c r="Y217" i="21"/>
  <c r="V217" i="21"/>
  <c r="S217" i="21"/>
  <c r="AB216" i="21"/>
  <c r="Y216" i="21"/>
  <c r="V216" i="21"/>
  <c r="S216" i="21"/>
  <c r="AB215" i="21"/>
  <c r="Y215" i="21"/>
  <c r="V215" i="21"/>
  <c r="S215" i="21"/>
  <c r="AB214" i="21"/>
  <c r="Y214" i="21"/>
  <c r="V214" i="21"/>
  <c r="S214" i="21"/>
  <c r="AB213" i="21"/>
  <c r="Y213" i="21"/>
  <c r="V213" i="21"/>
  <c r="S213" i="21"/>
  <c r="AB212" i="21"/>
  <c r="Y212" i="21"/>
  <c r="V212" i="21"/>
  <c r="S212" i="21"/>
  <c r="AB211" i="21"/>
  <c r="Y211" i="21"/>
  <c r="V211" i="21"/>
  <c r="S211" i="21"/>
  <c r="AB210" i="21"/>
  <c r="Y210" i="21"/>
  <c r="V210" i="21"/>
  <c r="S210" i="21"/>
  <c r="AB209" i="21"/>
  <c r="Y209" i="21"/>
  <c r="V209" i="21"/>
  <c r="S209" i="21"/>
  <c r="AB208" i="21"/>
  <c r="Y208" i="21"/>
  <c r="V208" i="21"/>
  <c r="S208" i="21"/>
  <c r="AB207" i="21"/>
  <c r="Y207" i="21"/>
  <c r="V207" i="21"/>
  <c r="S207" i="21"/>
  <c r="AB206" i="21"/>
  <c r="Y206" i="21"/>
  <c r="V206" i="21"/>
  <c r="S206" i="21"/>
  <c r="AB205" i="21"/>
  <c r="Y205" i="21"/>
  <c r="V205" i="21"/>
  <c r="S205" i="21"/>
  <c r="AB204" i="21"/>
  <c r="Y204" i="21"/>
  <c r="V204" i="21"/>
  <c r="S204" i="21"/>
  <c r="AB203" i="21"/>
  <c r="Y203" i="21"/>
  <c r="V203" i="21"/>
  <c r="S203" i="21"/>
  <c r="AB202" i="21"/>
  <c r="Y202" i="21"/>
  <c r="V202" i="21"/>
  <c r="S202" i="21"/>
  <c r="AB201" i="21"/>
  <c r="Y201" i="21"/>
  <c r="V201" i="21"/>
  <c r="S201" i="21"/>
  <c r="AB200" i="21"/>
  <c r="Y200" i="21"/>
  <c r="V200" i="21"/>
  <c r="S200" i="21"/>
  <c r="AB199" i="21"/>
  <c r="Y199" i="21"/>
  <c r="V199" i="21"/>
  <c r="S199" i="21"/>
  <c r="AB198" i="21"/>
  <c r="Y198" i="21"/>
  <c r="V198" i="21"/>
  <c r="S198" i="21"/>
  <c r="AB197" i="21"/>
  <c r="Y197" i="21"/>
  <c r="V197" i="21"/>
  <c r="S197" i="21"/>
  <c r="AB196" i="21"/>
  <c r="Y196" i="21"/>
  <c r="V196" i="21"/>
  <c r="S196" i="21"/>
  <c r="AB195" i="21"/>
  <c r="Y195" i="21"/>
  <c r="V195" i="21"/>
  <c r="S195" i="21"/>
  <c r="AB194" i="21"/>
  <c r="Y194" i="21"/>
  <c r="V194" i="21"/>
  <c r="S194" i="21"/>
  <c r="AB193" i="21"/>
  <c r="Y193" i="21"/>
  <c r="V193" i="21"/>
  <c r="S193" i="21"/>
  <c r="AB192" i="21"/>
  <c r="Y192" i="21"/>
  <c r="V192" i="21"/>
  <c r="S192" i="21"/>
  <c r="AB191" i="21"/>
  <c r="Y191" i="21"/>
  <c r="V191" i="21"/>
  <c r="S191" i="21"/>
  <c r="AB190" i="21"/>
  <c r="Y190" i="21"/>
  <c r="V190" i="21"/>
  <c r="S190" i="21"/>
  <c r="AB189" i="21"/>
  <c r="Y189" i="21"/>
  <c r="V189" i="21"/>
  <c r="S189" i="21"/>
  <c r="AB188" i="21"/>
  <c r="Y188" i="21"/>
  <c r="V188" i="21"/>
  <c r="S188" i="21"/>
  <c r="AB187" i="21"/>
  <c r="Y187" i="21"/>
  <c r="V187" i="21"/>
  <c r="S187" i="21"/>
  <c r="AB186" i="21"/>
  <c r="Y186" i="21"/>
  <c r="V186" i="21"/>
  <c r="S186" i="21"/>
  <c r="AB185" i="21"/>
  <c r="Y185" i="21"/>
  <c r="V185" i="21"/>
  <c r="S185" i="21"/>
  <c r="AB184" i="21"/>
  <c r="Y184" i="21"/>
  <c r="V184" i="21"/>
  <c r="S184" i="21"/>
  <c r="AB183" i="21"/>
  <c r="Y183" i="21"/>
  <c r="V183" i="21"/>
  <c r="S183" i="21"/>
  <c r="AB182" i="21"/>
  <c r="Y182" i="21"/>
  <c r="V182" i="21"/>
  <c r="S182" i="21"/>
  <c r="AB181" i="21"/>
  <c r="Y181" i="21"/>
  <c r="V181" i="21"/>
  <c r="S181" i="21"/>
  <c r="AB180" i="21"/>
  <c r="Y180" i="21"/>
  <c r="V180" i="21"/>
  <c r="S180" i="21"/>
  <c r="AB179" i="21"/>
  <c r="Y179" i="21"/>
  <c r="V179" i="21"/>
  <c r="S179" i="21"/>
  <c r="AB178" i="21"/>
  <c r="Y178" i="21"/>
  <c r="V178" i="21"/>
  <c r="S178" i="21"/>
  <c r="AB177" i="21"/>
  <c r="Y177" i="21"/>
  <c r="V177" i="21"/>
  <c r="S177" i="21"/>
  <c r="AB176" i="21"/>
  <c r="Y176" i="21"/>
  <c r="V176" i="21"/>
  <c r="S176" i="21"/>
  <c r="AB175" i="21"/>
  <c r="Y175" i="21"/>
  <c r="V175" i="21"/>
  <c r="S175" i="21"/>
  <c r="AB174" i="21"/>
  <c r="Y174" i="21"/>
  <c r="V174" i="21"/>
  <c r="S174" i="21"/>
  <c r="AB173" i="21"/>
  <c r="Y173" i="21"/>
  <c r="V173" i="21"/>
  <c r="S173" i="21"/>
  <c r="AB172" i="21"/>
  <c r="Y172" i="21"/>
  <c r="V172" i="21"/>
  <c r="S172" i="21"/>
  <c r="AB171" i="21"/>
  <c r="Y171" i="21"/>
  <c r="V171" i="21"/>
  <c r="S171" i="21"/>
  <c r="AB170" i="21"/>
  <c r="Y170" i="21"/>
  <c r="V170" i="21"/>
  <c r="S170" i="21"/>
  <c r="AB169" i="21"/>
  <c r="Y169" i="21"/>
  <c r="V169" i="21"/>
  <c r="S169" i="21"/>
  <c r="AB168" i="21"/>
  <c r="Y168" i="21"/>
  <c r="V168" i="21"/>
  <c r="S168" i="21"/>
  <c r="AB167" i="21"/>
  <c r="Y167" i="21"/>
  <c r="V167" i="21"/>
  <c r="S167" i="21"/>
  <c r="AB166" i="21"/>
  <c r="Y166" i="21"/>
  <c r="V166" i="21"/>
  <c r="S166" i="21"/>
  <c r="AB165" i="21"/>
  <c r="Y165" i="21"/>
  <c r="V165" i="21"/>
  <c r="S165" i="21"/>
  <c r="AB164" i="21"/>
  <c r="Y164" i="21"/>
  <c r="V164" i="21"/>
  <c r="S164" i="21"/>
  <c r="AB163" i="21"/>
  <c r="Y163" i="21"/>
  <c r="V163" i="21"/>
  <c r="S163" i="21"/>
  <c r="AB162" i="21"/>
  <c r="Y162" i="21"/>
  <c r="V162" i="21"/>
  <c r="S162" i="21"/>
  <c r="AB161" i="21"/>
  <c r="Y161" i="21"/>
  <c r="V161" i="21"/>
  <c r="S161" i="21"/>
  <c r="AB160" i="21"/>
  <c r="Y160" i="21"/>
  <c r="V160" i="21"/>
  <c r="S160" i="21"/>
  <c r="AB159" i="21"/>
  <c r="Y159" i="21"/>
  <c r="V159" i="21"/>
  <c r="S159" i="21"/>
  <c r="AB158" i="21"/>
  <c r="Y158" i="21"/>
  <c r="V158" i="21"/>
  <c r="S158" i="21"/>
  <c r="AB157" i="21"/>
  <c r="Y157" i="21"/>
  <c r="V157" i="21"/>
  <c r="S157" i="21"/>
  <c r="AB156" i="21"/>
  <c r="Y156" i="21"/>
  <c r="V156" i="21"/>
  <c r="S156" i="21"/>
  <c r="AB155" i="21"/>
  <c r="Y155" i="21"/>
  <c r="V155" i="21"/>
  <c r="S155" i="21"/>
  <c r="AB154" i="21"/>
  <c r="Y154" i="21"/>
  <c r="V154" i="21"/>
  <c r="S154" i="21"/>
  <c r="AB153" i="21"/>
  <c r="Y153" i="21"/>
  <c r="V153" i="21"/>
  <c r="S153" i="21"/>
  <c r="AB152" i="21"/>
  <c r="Y152" i="21"/>
  <c r="V152" i="21"/>
  <c r="S152" i="21"/>
  <c r="AB151" i="21"/>
  <c r="Y151" i="21"/>
  <c r="V151" i="21"/>
  <c r="S151" i="21"/>
  <c r="AB150" i="21"/>
  <c r="Y150" i="21"/>
  <c r="V150" i="21"/>
  <c r="S150" i="21"/>
  <c r="AB149" i="21"/>
  <c r="Y149" i="21"/>
  <c r="V149" i="21"/>
  <c r="S149" i="21"/>
  <c r="AB148" i="21"/>
  <c r="Y148" i="21"/>
  <c r="V148" i="21"/>
  <c r="S148" i="21"/>
  <c r="AB147" i="21"/>
  <c r="Y147" i="21"/>
  <c r="V147" i="21"/>
  <c r="S147" i="21"/>
  <c r="AB146" i="21"/>
  <c r="Y146" i="21"/>
  <c r="V146" i="21"/>
  <c r="S146" i="21"/>
  <c r="AB145" i="21"/>
  <c r="Y145" i="21"/>
  <c r="V145" i="21"/>
  <c r="S145" i="21"/>
  <c r="AB144" i="21"/>
  <c r="Y144" i="21"/>
  <c r="V144" i="21"/>
  <c r="S144" i="21"/>
  <c r="AB143" i="21"/>
  <c r="Y143" i="21"/>
  <c r="V143" i="21"/>
  <c r="S143" i="21"/>
  <c r="AB142" i="21"/>
  <c r="Y142" i="21"/>
  <c r="V142" i="21"/>
  <c r="S142" i="21"/>
  <c r="AB141" i="21"/>
  <c r="Y141" i="21"/>
  <c r="V141" i="21"/>
  <c r="S141" i="21"/>
  <c r="AB140" i="21"/>
  <c r="Y140" i="21"/>
  <c r="V140" i="21"/>
  <c r="S140" i="21"/>
  <c r="AB139" i="21"/>
  <c r="Y139" i="21"/>
  <c r="V139" i="21"/>
  <c r="S139" i="21"/>
  <c r="AB138" i="21"/>
  <c r="Y138" i="21"/>
  <c r="V138" i="21"/>
  <c r="S138" i="21"/>
  <c r="AB137" i="21"/>
  <c r="Y137" i="21"/>
  <c r="V137" i="21"/>
  <c r="S137" i="21"/>
  <c r="AB136" i="21"/>
  <c r="Y136" i="21"/>
  <c r="V136" i="21"/>
  <c r="S136" i="21"/>
  <c r="AB135" i="21"/>
  <c r="Y135" i="21"/>
  <c r="V135" i="21"/>
  <c r="S135" i="21"/>
  <c r="AB134" i="21"/>
  <c r="Y134" i="21"/>
  <c r="V134" i="21"/>
  <c r="S134" i="21"/>
  <c r="AB133" i="21"/>
  <c r="Y133" i="21"/>
  <c r="V133" i="21"/>
  <c r="S133" i="21"/>
  <c r="AB132" i="21"/>
  <c r="Y132" i="21"/>
  <c r="V132" i="21"/>
  <c r="S132" i="21"/>
  <c r="AB131" i="21"/>
  <c r="Y131" i="21"/>
  <c r="V131" i="21"/>
  <c r="S131" i="21"/>
  <c r="AB130" i="21"/>
  <c r="Y130" i="21"/>
  <c r="V130" i="21"/>
  <c r="S130" i="21"/>
  <c r="AB129" i="21"/>
  <c r="Y129" i="21"/>
  <c r="V129" i="21"/>
  <c r="S129" i="21"/>
  <c r="AB128" i="21"/>
  <c r="Y128" i="21"/>
  <c r="V128" i="21"/>
  <c r="S128" i="21"/>
  <c r="AB127" i="21"/>
  <c r="Y127" i="21"/>
  <c r="V127" i="21"/>
  <c r="S127" i="21"/>
  <c r="AB126" i="21"/>
  <c r="Y126" i="21"/>
  <c r="V126" i="21"/>
  <c r="S126" i="21"/>
  <c r="AB125" i="21"/>
  <c r="Y125" i="21"/>
  <c r="V125" i="21"/>
  <c r="S125" i="21"/>
  <c r="AB124" i="21"/>
  <c r="Y124" i="21"/>
  <c r="V124" i="21"/>
  <c r="S124" i="21"/>
  <c r="AB123" i="21"/>
  <c r="Y123" i="21"/>
  <c r="V123" i="21"/>
  <c r="S123" i="21"/>
  <c r="AB122" i="21"/>
  <c r="Y122" i="21"/>
  <c r="V122" i="21"/>
  <c r="S122" i="21"/>
  <c r="AB121" i="21"/>
  <c r="Y121" i="21"/>
  <c r="V121" i="21"/>
  <c r="S121" i="21"/>
  <c r="AB120" i="21"/>
  <c r="Y120" i="21"/>
  <c r="V120" i="21"/>
  <c r="S120" i="21"/>
  <c r="AB119" i="21"/>
  <c r="Y119" i="21"/>
  <c r="V119" i="21"/>
  <c r="S119" i="21"/>
  <c r="AB118" i="21"/>
  <c r="Y118" i="21"/>
  <c r="V118" i="21"/>
  <c r="S118" i="21"/>
  <c r="AB117" i="21"/>
  <c r="Y117" i="21"/>
  <c r="V117" i="21"/>
  <c r="S117" i="21"/>
  <c r="AB116" i="21"/>
  <c r="Y116" i="21"/>
  <c r="V116" i="21"/>
  <c r="S116" i="21"/>
  <c r="AB115" i="21"/>
  <c r="Y115" i="21"/>
  <c r="V115" i="21"/>
  <c r="S115" i="21"/>
  <c r="AB114" i="21"/>
  <c r="Y114" i="21"/>
  <c r="V114" i="21"/>
  <c r="S114" i="21"/>
  <c r="AB113" i="21"/>
  <c r="Y113" i="21"/>
  <c r="V113" i="21"/>
  <c r="S113" i="21"/>
  <c r="AB112" i="21"/>
  <c r="Y112" i="21"/>
  <c r="V112" i="21"/>
  <c r="S112" i="21"/>
  <c r="AB111" i="21"/>
  <c r="Y111" i="21"/>
  <c r="V111" i="21"/>
  <c r="S111" i="21"/>
  <c r="AB110" i="21"/>
  <c r="Y110" i="21"/>
  <c r="V110" i="21"/>
  <c r="S110" i="21"/>
  <c r="AB109" i="21"/>
  <c r="Y109" i="21"/>
  <c r="V109" i="21"/>
  <c r="S109" i="21"/>
  <c r="AB108" i="21"/>
  <c r="Y108" i="21"/>
  <c r="V108" i="21"/>
  <c r="S108" i="21"/>
  <c r="AB107" i="21"/>
  <c r="Y107" i="21"/>
  <c r="V107" i="21"/>
  <c r="S107" i="21"/>
  <c r="AB106" i="21"/>
  <c r="Y106" i="21"/>
  <c r="V106" i="21"/>
  <c r="S106" i="21"/>
  <c r="AB105" i="21"/>
  <c r="Y105" i="21"/>
  <c r="V105" i="21"/>
  <c r="S105" i="21"/>
  <c r="AB104" i="21"/>
  <c r="Y104" i="21"/>
  <c r="V104" i="21"/>
  <c r="S104" i="21"/>
  <c r="AB103" i="21"/>
  <c r="Y103" i="21"/>
  <c r="V103" i="21"/>
  <c r="S103" i="21"/>
  <c r="AB102" i="21"/>
  <c r="Y102" i="21"/>
  <c r="V102" i="21"/>
  <c r="S102" i="21"/>
  <c r="AB101" i="21"/>
  <c r="Y101" i="21"/>
  <c r="V101" i="21"/>
  <c r="S101" i="21"/>
  <c r="AB100" i="21"/>
  <c r="Y100" i="21"/>
  <c r="V100" i="21"/>
  <c r="S100" i="21"/>
  <c r="AB99" i="21"/>
  <c r="Y99" i="21"/>
  <c r="V99" i="21"/>
  <c r="S99" i="21"/>
  <c r="AB98" i="21"/>
  <c r="Y98" i="21"/>
  <c r="V98" i="21"/>
  <c r="S98" i="21"/>
  <c r="AB97" i="21"/>
  <c r="Y97" i="21"/>
  <c r="V97" i="21"/>
  <c r="S97" i="21"/>
  <c r="AB96" i="21"/>
  <c r="Y96" i="21"/>
  <c r="V96" i="21"/>
  <c r="S96" i="21"/>
  <c r="AB95" i="21"/>
  <c r="Y95" i="21"/>
  <c r="V95" i="21"/>
  <c r="S95" i="21"/>
  <c r="AB94" i="21"/>
  <c r="Y94" i="21"/>
  <c r="V94" i="21"/>
  <c r="S94" i="21"/>
  <c r="AB93" i="21"/>
  <c r="Y93" i="21"/>
  <c r="V93" i="21"/>
  <c r="S93" i="21"/>
  <c r="AB92" i="21"/>
  <c r="Y92" i="21"/>
  <c r="V92" i="21"/>
  <c r="S92" i="21"/>
  <c r="AB91" i="21"/>
  <c r="Y91" i="21"/>
  <c r="V91" i="21"/>
  <c r="S91" i="21"/>
  <c r="AB90" i="21"/>
  <c r="Y90" i="21"/>
  <c r="V90" i="21"/>
  <c r="S90" i="21"/>
  <c r="AB89" i="21"/>
  <c r="Y89" i="21"/>
  <c r="V89" i="21"/>
  <c r="S89" i="21"/>
  <c r="AB88" i="21"/>
  <c r="Y88" i="21"/>
  <c r="V88" i="21"/>
  <c r="S88" i="21"/>
  <c r="AB87" i="21"/>
  <c r="Y87" i="21"/>
  <c r="V87" i="21"/>
  <c r="S87" i="21"/>
  <c r="AB86" i="21"/>
  <c r="Y86" i="21"/>
  <c r="V86" i="21"/>
  <c r="S86" i="21"/>
  <c r="AB85" i="21"/>
  <c r="Y85" i="21"/>
  <c r="V85" i="21"/>
  <c r="S85" i="21"/>
  <c r="AB84" i="21"/>
  <c r="Y84" i="21"/>
  <c r="V84" i="21"/>
  <c r="S84" i="21"/>
  <c r="AB83" i="21"/>
  <c r="Y83" i="21"/>
  <c r="V83" i="21"/>
  <c r="S83" i="21"/>
  <c r="AB82" i="21"/>
  <c r="Y82" i="21"/>
  <c r="V82" i="21"/>
  <c r="S82" i="21"/>
  <c r="AB81" i="21"/>
  <c r="Y81" i="21"/>
  <c r="V81" i="21"/>
  <c r="S81" i="21"/>
  <c r="AB80" i="21"/>
  <c r="Y80" i="21"/>
  <c r="V80" i="21"/>
  <c r="S80" i="21"/>
  <c r="AB79" i="21"/>
  <c r="Y79" i="21"/>
  <c r="V79" i="21"/>
  <c r="S79" i="21"/>
  <c r="AB78" i="21"/>
  <c r="Y78" i="21"/>
  <c r="V78" i="21"/>
  <c r="S78" i="21"/>
  <c r="AB77" i="21"/>
  <c r="Y77" i="21"/>
  <c r="V77" i="21"/>
  <c r="S77" i="21"/>
  <c r="AB76" i="21"/>
  <c r="Y76" i="21"/>
  <c r="V76" i="21"/>
  <c r="S76" i="21"/>
  <c r="AB75" i="21"/>
  <c r="Y75" i="21"/>
  <c r="V75" i="21"/>
  <c r="S75" i="21"/>
  <c r="AB74" i="21"/>
  <c r="Y74" i="21"/>
  <c r="V74" i="21"/>
  <c r="S74" i="21"/>
  <c r="AB73" i="21"/>
  <c r="Y73" i="21"/>
  <c r="V73" i="21"/>
  <c r="S73" i="21"/>
  <c r="AB72" i="21"/>
  <c r="Y72" i="21"/>
  <c r="V72" i="21"/>
  <c r="S72" i="21"/>
  <c r="AB71" i="21"/>
  <c r="Y71" i="21"/>
  <c r="V71" i="21"/>
  <c r="S71" i="21"/>
  <c r="AB70" i="21"/>
  <c r="Y70" i="21"/>
  <c r="V70" i="21"/>
  <c r="S70" i="21"/>
  <c r="AB69" i="21"/>
  <c r="Y69" i="21"/>
  <c r="V69" i="21"/>
  <c r="S69" i="21"/>
  <c r="AB68" i="21"/>
  <c r="Y68" i="21"/>
  <c r="V68" i="21"/>
  <c r="S68" i="21"/>
  <c r="AB67" i="21"/>
  <c r="Y67" i="21"/>
  <c r="V67" i="21"/>
  <c r="S67" i="21"/>
  <c r="AB66" i="21"/>
  <c r="Y66" i="21"/>
  <c r="V66" i="21"/>
  <c r="S66" i="21"/>
  <c r="AB65" i="21"/>
  <c r="Y65" i="21"/>
  <c r="V65" i="21"/>
  <c r="S65" i="21"/>
  <c r="AB64" i="21"/>
  <c r="Y64" i="21"/>
  <c r="V64" i="21"/>
  <c r="S64" i="21"/>
  <c r="AB63" i="21"/>
  <c r="Y63" i="21"/>
  <c r="V63" i="21"/>
  <c r="S63" i="21"/>
  <c r="AB62" i="21"/>
  <c r="Y62" i="21"/>
  <c r="V62" i="21"/>
  <c r="S62" i="21"/>
  <c r="AB61" i="21"/>
  <c r="Y61" i="21"/>
  <c r="V61" i="21"/>
  <c r="S61" i="21"/>
  <c r="AB60" i="21"/>
  <c r="Y60" i="21"/>
  <c r="V60" i="21"/>
  <c r="S60" i="21"/>
  <c r="AB59" i="21"/>
  <c r="Y59" i="21"/>
  <c r="V59" i="21"/>
  <c r="S59" i="21"/>
  <c r="AB58" i="21"/>
  <c r="Y58" i="21"/>
  <c r="V58" i="21"/>
  <c r="S58" i="21"/>
  <c r="AB57" i="21"/>
  <c r="Y57" i="21"/>
  <c r="V57" i="21"/>
  <c r="S57" i="21"/>
  <c r="AB56" i="21"/>
  <c r="Y56" i="21"/>
  <c r="V56" i="21"/>
  <c r="S56" i="21"/>
  <c r="AB55" i="21"/>
  <c r="Y55" i="21"/>
  <c r="V55" i="21"/>
  <c r="S55" i="21"/>
  <c r="AB54" i="21"/>
  <c r="Y54" i="21"/>
  <c r="V54" i="21"/>
  <c r="S54" i="21"/>
  <c r="AB53" i="21"/>
  <c r="Y53" i="21"/>
  <c r="V53" i="21"/>
  <c r="S53" i="21"/>
  <c r="AB52" i="21"/>
  <c r="Y52" i="21"/>
  <c r="V52" i="21"/>
  <c r="S52" i="21"/>
  <c r="AB51" i="21"/>
  <c r="Y51" i="21"/>
  <c r="V51" i="21"/>
  <c r="S51" i="21"/>
  <c r="AB50" i="21"/>
  <c r="Y50" i="21"/>
  <c r="V50" i="21"/>
  <c r="S50" i="21"/>
  <c r="AB49" i="21"/>
  <c r="Y49" i="21"/>
  <c r="V49" i="21"/>
  <c r="S49" i="21"/>
  <c r="AB48" i="21"/>
  <c r="Y48" i="21"/>
  <c r="V48" i="21"/>
  <c r="S48" i="21"/>
  <c r="AB47" i="21"/>
  <c r="Y47" i="21"/>
  <c r="V47" i="21"/>
  <c r="S47" i="21"/>
  <c r="AB46" i="21"/>
  <c r="Y46" i="21"/>
  <c r="V46" i="21"/>
  <c r="S46" i="21"/>
  <c r="AB45" i="21"/>
  <c r="Y45" i="21"/>
  <c r="V45" i="21"/>
  <c r="S45" i="21"/>
  <c r="AB44" i="21"/>
  <c r="Y44" i="21"/>
  <c r="V44" i="21"/>
  <c r="S44" i="21"/>
  <c r="AB43" i="21"/>
  <c r="Y43" i="21"/>
  <c r="V43" i="21"/>
  <c r="S43" i="21"/>
  <c r="AB42" i="21"/>
  <c r="Y42" i="21"/>
  <c r="V42" i="21"/>
  <c r="S42" i="21"/>
  <c r="AB41" i="21"/>
  <c r="Y41" i="21"/>
  <c r="V41" i="21"/>
  <c r="S41" i="21"/>
  <c r="AB40" i="21"/>
  <c r="Y40" i="21"/>
  <c r="V40" i="21"/>
  <c r="S40" i="21"/>
  <c r="AB39" i="21"/>
  <c r="Y39" i="21"/>
  <c r="V39" i="21"/>
  <c r="S39" i="21"/>
  <c r="AB38" i="21"/>
  <c r="Y38" i="21"/>
  <c r="V38" i="21"/>
  <c r="S38" i="21"/>
  <c r="AB37" i="21"/>
  <c r="Y37" i="21"/>
  <c r="V37" i="21"/>
  <c r="S37" i="21"/>
  <c r="AB36" i="21"/>
  <c r="Y36" i="21"/>
  <c r="V36" i="21"/>
  <c r="S36" i="21"/>
  <c r="AB35" i="21"/>
  <c r="Y35" i="21"/>
  <c r="V35" i="21"/>
  <c r="S35" i="21"/>
  <c r="AB34" i="21"/>
  <c r="Y34" i="21"/>
  <c r="V34" i="21"/>
  <c r="S34" i="21"/>
  <c r="AB33" i="21"/>
  <c r="Y33" i="21"/>
  <c r="V33" i="21"/>
  <c r="S33" i="21"/>
  <c r="AB32" i="21"/>
  <c r="Y32" i="21"/>
  <c r="V32" i="21"/>
  <c r="S32" i="21"/>
  <c r="AB31" i="21"/>
  <c r="Y31" i="21"/>
  <c r="V31" i="21"/>
  <c r="S31" i="21"/>
  <c r="AB30" i="21"/>
  <c r="Y30" i="21"/>
  <c r="V30" i="21"/>
  <c r="S30" i="21"/>
  <c r="AB29" i="21"/>
  <c r="Y29" i="21"/>
  <c r="V29" i="21"/>
  <c r="S29" i="21"/>
  <c r="AB28" i="21"/>
  <c r="Y28" i="21"/>
  <c r="V28" i="21"/>
  <c r="S28" i="21"/>
  <c r="AB27" i="21"/>
  <c r="Y27" i="21"/>
  <c r="V27" i="21"/>
  <c r="S27" i="21"/>
  <c r="AB26" i="21"/>
  <c r="Y26" i="21"/>
  <c r="V26" i="21"/>
  <c r="S26" i="21"/>
  <c r="AB25" i="21"/>
  <c r="Y25" i="21"/>
  <c r="V25" i="21"/>
  <c r="S25" i="21"/>
  <c r="AB24" i="21"/>
  <c r="Y24" i="21"/>
  <c r="V24" i="21"/>
  <c r="S24" i="21"/>
  <c r="AB23" i="21"/>
  <c r="Y23" i="21"/>
  <c r="V23" i="21"/>
  <c r="S23" i="21"/>
  <c r="AB22" i="21"/>
  <c r="Y22" i="21"/>
  <c r="V22" i="21"/>
  <c r="S22" i="21"/>
  <c r="E18" i="21"/>
  <c r="AB21" i="21"/>
  <c r="Y21" i="21"/>
  <c r="V21" i="21"/>
  <c r="S21" i="21"/>
  <c r="AB20" i="21"/>
  <c r="Y20" i="21"/>
  <c r="V20" i="21"/>
  <c r="S20" i="21"/>
  <c r="AB19" i="21"/>
  <c r="Y19" i="21"/>
  <c r="V19" i="21"/>
  <c r="S19" i="21"/>
  <c r="AB18" i="21"/>
  <c r="Y18" i="21"/>
  <c r="V18" i="21"/>
  <c r="S18" i="21"/>
  <c r="H14" i="21"/>
  <c r="G14" i="21"/>
  <c r="AB17" i="21"/>
  <c r="Y17" i="21"/>
  <c r="V17" i="21"/>
  <c r="S17" i="21"/>
  <c r="AB16" i="21"/>
  <c r="Y16" i="21"/>
  <c r="V16" i="21"/>
  <c r="S16" i="21"/>
  <c r="AB15" i="21"/>
  <c r="Y15" i="21"/>
  <c r="V15" i="21"/>
  <c r="S15" i="21"/>
  <c r="AB14" i="21"/>
  <c r="Y14" i="21"/>
  <c r="V14" i="21"/>
  <c r="S14" i="21"/>
  <c r="AB13" i="21"/>
  <c r="Y13" i="21"/>
  <c r="V13" i="21"/>
  <c r="S13" i="21"/>
  <c r="AB12" i="21"/>
  <c r="Y12" i="21"/>
  <c r="V12" i="21"/>
  <c r="S12" i="21"/>
  <c r="AB11" i="21"/>
  <c r="Y11" i="21"/>
  <c r="V11" i="21"/>
  <c r="S11" i="21"/>
  <c r="AB10" i="21"/>
  <c r="Y10" i="21"/>
  <c r="V10" i="21"/>
  <c r="S10" i="21"/>
  <c r="D18" i="21"/>
  <c r="AB9" i="21"/>
  <c r="Y9" i="21"/>
  <c r="V9" i="21"/>
  <c r="S9" i="21"/>
  <c r="E17" i="21"/>
  <c r="D17" i="21"/>
  <c r="AB8" i="21"/>
  <c r="Y8" i="21"/>
  <c r="V8" i="21"/>
  <c r="S8" i="21"/>
  <c r="E16" i="21"/>
  <c r="D16" i="21"/>
  <c r="AB7" i="21"/>
  <c r="Y7" i="21"/>
  <c r="V7" i="21"/>
  <c r="S7" i="21"/>
  <c r="AB5" i="21"/>
  <c r="AA5" i="21"/>
  <c r="Y5" i="21"/>
  <c r="X5" i="21"/>
  <c r="V5" i="21"/>
  <c r="U5" i="21"/>
  <c r="C18" i="21"/>
  <c r="C17" i="21"/>
  <c r="C16" i="21"/>
  <c r="U20" i="23" l="1"/>
  <c r="E9" i="24" s="1"/>
  <c r="E13" i="24" s="1"/>
  <c r="E16" i="24" s="1"/>
  <c r="E19" i="24" s="1"/>
  <c r="E10" i="24"/>
  <c r="I20" i="23"/>
  <c r="C10" i="24"/>
  <c r="C9" i="24"/>
  <c r="C13" i="24" s="1"/>
  <c r="C16" i="24" s="1"/>
  <c r="C19" i="24" s="1"/>
  <c r="H50" i="19"/>
  <c r="D9" i="21"/>
  <c r="I17" i="21" s="1"/>
  <c r="D8" i="21"/>
  <c r="I16" i="21" s="1"/>
  <c r="J26" i="11"/>
  <c r="J28" i="11" s="1"/>
  <c r="J29" i="11"/>
  <c r="K25" i="11" s="1"/>
  <c r="K26" i="11" s="1"/>
  <c r="K28" i="11" s="1"/>
  <c r="L11" i="11"/>
  <c r="K21" i="11"/>
  <c r="D10" i="21"/>
  <c r="I18" i="21" s="1"/>
  <c r="H16" i="21"/>
  <c r="H17" i="21"/>
  <c r="G16" i="21"/>
  <c r="F16" i="21"/>
  <c r="F17" i="21"/>
  <c r="G17" i="21"/>
  <c r="G18" i="21"/>
  <c r="F18" i="21"/>
  <c r="H18" i="21"/>
  <c r="E11" i="24" l="1"/>
  <c r="E15" i="24" s="1"/>
  <c r="E18" i="24" s="1"/>
  <c r="E20" i="24" s="1"/>
  <c r="C11" i="24"/>
  <c r="C15" i="24" s="1"/>
  <c r="C18" i="24" s="1"/>
  <c r="C20" i="24" s="1"/>
  <c r="F20" i="21"/>
  <c r="K29" i="11"/>
  <c r="L25" i="11" s="1"/>
  <c r="M11" i="11"/>
  <c r="M21" i="11" s="1"/>
  <c r="L21" i="11"/>
  <c r="J18" i="21"/>
  <c r="J17" i="21"/>
  <c r="J16" i="21"/>
  <c r="L26" i="11" l="1"/>
  <c r="L28" i="11" s="1"/>
  <c r="J20" i="21"/>
  <c r="K20" i="21" s="1"/>
  <c r="L20" i="21" s="1"/>
  <c r="D91" i="9" s="1"/>
  <c r="D97" i="9" s="1"/>
  <c r="D14" i="19" s="1"/>
  <c r="D7" i="19"/>
  <c r="M2" i="19"/>
  <c r="L2" i="19"/>
  <c r="K2" i="19"/>
  <c r="J2" i="19"/>
  <c r="I2" i="19"/>
  <c r="H2" i="19"/>
  <c r="G2" i="19"/>
  <c r="F2" i="19"/>
  <c r="E2" i="19"/>
  <c r="A2" i="19"/>
  <c r="H54" i="18"/>
  <c r="H53" i="18"/>
  <c r="H52" i="18"/>
  <c r="H51" i="18"/>
  <c r="H50" i="18"/>
  <c r="H41" i="18"/>
  <c r="G41" i="18"/>
  <c r="F41" i="18"/>
  <c r="H40" i="18"/>
  <c r="G40" i="18"/>
  <c r="F40" i="18"/>
  <c r="H39" i="18"/>
  <c r="G39" i="18"/>
  <c r="F39" i="18"/>
  <c r="G38" i="18"/>
  <c r="F38" i="18"/>
  <c r="H37" i="18"/>
  <c r="G37" i="18"/>
  <c r="F37" i="18"/>
  <c r="E39" i="18"/>
  <c r="E41" i="18"/>
  <c r="E40" i="18"/>
  <c r="E38" i="18"/>
  <c r="E37" i="18"/>
  <c r="H28" i="18"/>
  <c r="G28" i="18"/>
  <c r="F28" i="18"/>
  <c r="G26" i="18"/>
  <c r="F26" i="18"/>
  <c r="H34" i="18"/>
  <c r="G34" i="18"/>
  <c r="F34" i="18"/>
  <c r="E34" i="18"/>
  <c r="H33" i="18"/>
  <c r="G33" i="18"/>
  <c r="F33" i="18"/>
  <c r="H27" i="18"/>
  <c r="G27" i="18"/>
  <c r="F27" i="18"/>
  <c r="H32" i="18"/>
  <c r="G32" i="18"/>
  <c r="F32" i="18"/>
  <c r="H5" i="18"/>
  <c r="G5" i="18"/>
  <c r="F5" i="18"/>
  <c r="E5" i="18"/>
  <c r="H22" i="18"/>
  <c r="G22" i="18"/>
  <c r="F22" i="18"/>
  <c r="E22" i="18"/>
  <c r="J37" i="9"/>
  <c r="K37" i="9" s="1"/>
  <c r="L37" i="9" s="1"/>
  <c r="H18" i="18"/>
  <c r="G18" i="18"/>
  <c r="F18" i="18"/>
  <c r="E18" i="18"/>
  <c r="H17" i="18"/>
  <c r="G17" i="18"/>
  <c r="F17" i="18"/>
  <c r="E17" i="18"/>
  <c r="H16" i="18"/>
  <c r="G16" i="18"/>
  <c r="F16" i="18"/>
  <c r="E16" i="18"/>
  <c r="H15" i="18"/>
  <c r="G15" i="18"/>
  <c r="F15" i="18"/>
  <c r="E15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M2" i="18"/>
  <c r="L2" i="18"/>
  <c r="K2" i="18"/>
  <c r="J2" i="18"/>
  <c r="I2" i="18"/>
  <c r="H2" i="18"/>
  <c r="G2" i="18"/>
  <c r="Q2" i="18" s="1"/>
  <c r="F2" i="18"/>
  <c r="P2" i="18" s="1"/>
  <c r="E2" i="18"/>
  <c r="O2" i="18" s="1"/>
  <c r="A2" i="18"/>
  <c r="G37" i="3"/>
  <c r="F37" i="3"/>
  <c r="E37" i="3"/>
  <c r="F35" i="3"/>
  <c r="G35" i="3"/>
  <c r="H35" i="3"/>
  <c r="L21" i="19" l="1"/>
  <c r="I21" i="19"/>
  <c r="M18" i="19"/>
  <c r="D5" i="24"/>
  <c r="H49" i="18"/>
  <c r="R2" i="18"/>
  <c r="H55" i="18"/>
  <c r="L29" i="11"/>
  <c r="M25" i="11" s="1"/>
  <c r="K21" i="19"/>
  <c r="J21" i="19"/>
  <c r="M21" i="19"/>
  <c r="F29" i="18"/>
  <c r="G29" i="18"/>
  <c r="M37" i="9"/>
  <c r="K18" i="23" l="1"/>
  <c r="K20" i="23" s="1"/>
  <c r="L18" i="23"/>
  <c r="L20" i="23" s="1"/>
  <c r="N18" i="23"/>
  <c r="N20" i="23" s="1"/>
  <c r="M18" i="23"/>
  <c r="M20" i="23" s="1"/>
  <c r="O18" i="23"/>
  <c r="M45" i="19"/>
  <c r="M24" i="19"/>
  <c r="M26" i="11"/>
  <c r="M28" i="11" s="1"/>
  <c r="M29" i="11" s="1"/>
  <c r="D12" i="24" l="1"/>
  <c r="O20" i="23"/>
  <c r="D10" i="24"/>
  <c r="D9" i="24"/>
  <c r="H49" i="15"/>
  <c r="G49" i="15"/>
  <c r="F49" i="15"/>
  <c r="E49" i="15"/>
  <c r="I25" i="16"/>
  <c r="J25" i="16" s="1"/>
  <c r="I27" i="16"/>
  <c r="I9" i="15"/>
  <c r="H29" i="10"/>
  <c r="H77" i="9"/>
  <c r="G77" i="9"/>
  <c r="F77" i="9"/>
  <c r="E77" i="9"/>
  <c r="H67" i="9"/>
  <c r="G67" i="9"/>
  <c r="F67" i="9"/>
  <c r="E67" i="9"/>
  <c r="H64" i="9"/>
  <c r="G64" i="9"/>
  <c r="F64" i="9"/>
  <c r="E64" i="9"/>
  <c r="H56" i="9"/>
  <c r="G56" i="9"/>
  <c r="F56" i="9"/>
  <c r="E56" i="9"/>
  <c r="H54" i="9"/>
  <c r="G54" i="9"/>
  <c r="F54" i="9"/>
  <c r="E54" i="9"/>
  <c r="H18" i="11"/>
  <c r="H8" i="11"/>
  <c r="H38" i="16"/>
  <c r="H18" i="16"/>
  <c r="G18" i="16"/>
  <c r="F18" i="16"/>
  <c r="E18" i="16"/>
  <c r="E2" i="16"/>
  <c r="A2" i="16"/>
  <c r="H47" i="15"/>
  <c r="G47" i="15"/>
  <c r="F47" i="15"/>
  <c r="E47" i="15"/>
  <c r="H45" i="15"/>
  <c r="G45" i="15"/>
  <c r="F45" i="15"/>
  <c r="E45" i="15"/>
  <c r="H34" i="15"/>
  <c r="G34" i="15"/>
  <c r="F34" i="15"/>
  <c r="E34" i="15"/>
  <c r="H40" i="15"/>
  <c r="G40" i="15"/>
  <c r="F40" i="15"/>
  <c r="E40" i="15"/>
  <c r="H22" i="15"/>
  <c r="G22" i="15"/>
  <c r="F22" i="15"/>
  <c r="E22" i="15"/>
  <c r="E2" i="15"/>
  <c r="Q2" i="15" s="1"/>
  <c r="A2" i="15"/>
  <c r="J9" i="15"/>
  <c r="K9" i="15" s="1"/>
  <c r="I20" i="15"/>
  <c r="J20" i="15" s="1"/>
  <c r="M27" i="16"/>
  <c r="L27" i="16"/>
  <c r="K27" i="16"/>
  <c r="J27" i="16"/>
  <c r="M32" i="16"/>
  <c r="L32" i="16"/>
  <c r="K32" i="16"/>
  <c r="J32" i="16"/>
  <c r="I32" i="16"/>
  <c r="I37" i="15" s="1"/>
  <c r="I19" i="15"/>
  <c r="J19" i="15" s="1"/>
  <c r="K19" i="15" s="1"/>
  <c r="L19" i="15" s="1"/>
  <c r="M19" i="15" s="1"/>
  <c r="I18" i="15"/>
  <c r="J18" i="15" s="1"/>
  <c r="K18" i="15" s="1"/>
  <c r="L18" i="15" s="1"/>
  <c r="M18" i="15" s="1"/>
  <c r="H13" i="15"/>
  <c r="H24" i="15" s="1"/>
  <c r="G13" i="15"/>
  <c r="G24" i="15" s="1"/>
  <c r="F13" i="15"/>
  <c r="F24" i="15" s="1"/>
  <c r="E13" i="15"/>
  <c r="E24" i="15" s="1"/>
  <c r="H43" i="16"/>
  <c r="I41" i="16" s="1"/>
  <c r="G36" i="16"/>
  <c r="F36" i="16"/>
  <c r="F38" i="16" s="1"/>
  <c r="E36" i="16"/>
  <c r="H36" i="16"/>
  <c r="H28" i="16"/>
  <c r="G28" i="16"/>
  <c r="F28" i="16"/>
  <c r="E28" i="16"/>
  <c r="E20" i="16"/>
  <c r="E38" i="16" s="1"/>
  <c r="G20" i="16"/>
  <c r="G38" i="16" s="1"/>
  <c r="F20" i="16"/>
  <c r="H20" i="16"/>
  <c r="D11" i="24" l="1"/>
  <c r="D15" i="24" s="1"/>
  <c r="D18" i="24" s="1"/>
  <c r="D13" i="24"/>
  <c r="D16" i="24" s="1"/>
  <c r="D19" i="24" s="1"/>
  <c r="I16" i="15"/>
  <c r="J16" i="15" s="1"/>
  <c r="K25" i="16"/>
  <c r="H46" i="16"/>
  <c r="L9" i="15"/>
  <c r="M9" i="15" s="1"/>
  <c r="K20" i="15"/>
  <c r="J37" i="15"/>
  <c r="K37" i="15" s="1"/>
  <c r="D20" i="24" l="1"/>
  <c r="L25" i="16"/>
  <c r="M25" i="16" s="1"/>
  <c r="K16" i="15"/>
  <c r="L20" i="15"/>
  <c r="L37" i="15" l="1"/>
  <c r="L16" i="15"/>
  <c r="M37" i="15" l="1"/>
  <c r="M16" i="15"/>
  <c r="M20" i="15"/>
  <c r="I43" i="15" l="1"/>
  <c r="J43" i="15" s="1"/>
  <c r="K43" i="15" l="1"/>
  <c r="L43" i="15" l="1"/>
  <c r="M43" i="15" l="1"/>
  <c r="E5" i="10" l="1"/>
  <c r="H19" i="3"/>
  <c r="M7" i="11"/>
  <c r="L7" i="11"/>
  <c r="K7" i="11"/>
  <c r="J7" i="11"/>
  <c r="I7" i="11"/>
  <c r="I5" i="11"/>
  <c r="I15" i="11"/>
  <c r="E2" i="11"/>
  <c r="A2" i="11"/>
  <c r="A2" i="10"/>
  <c r="M8" i="10"/>
  <c r="L8" i="10"/>
  <c r="K8" i="10"/>
  <c r="J8" i="10"/>
  <c r="I8" i="10"/>
  <c r="I9" i="10"/>
  <c r="E2" i="10"/>
  <c r="H6" i="10"/>
  <c r="G6" i="10"/>
  <c r="E6" i="10"/>
  <c r="F55" i="9"/>
  <c r="G55" i="9" s="1"/>
  <c r="H9" i="10"/>
  <c r="G9" i="10"/>
  <c r="F9" i="10"/>
  <c r="E9" i="10"/>
  <c r="I12" i="3"/>
  <c r="J12" i="3"/>
  <c r="K12" i="3"/>
  <c r="L12" i="3"/>
  <c r="M12" i="3"/>
  <c r="G8" i="3"/>
  <c r="G31" i="9"/>
  <c r="F31" i="9"/>
  <c r="E31" i="9"/>
  <c r="G30" i="9"/>
  <c r="F30" i="9"/>
  <c r="E30" i="9"/>
  <c r="G29" i="9"/>
  <c r="F29" i="9"/>
  <c r="E29" i="9"/>
  <c r="G28" i="9"/>
  <c r="F28" i="9"/>
  <c r="E28" i="9"/>
  <c r="M15" i="9"/>
  <c r="L15" i="9"/>
  <c r="K15" i="9"/>
  <c r="J15" i="9"/>
  <c r="I15" i="9"/>
  <c r="H15" i="9"/>
  <c r="G15" i="9"/>
  <c r="F15" i="9"/>
  <c r="G10" i="9"/>
  <c r="F10" i="9"/>
  <c r="G9" i="9"/>
  <c r="F9" i="9"/>
  <c r="G8" i="9"/>
  <c r="F8" i="9"/>
  <c r="E10" i="9"/>
  <c r="E9" i="9"/>
  <c r="E8" i="9"/>
  <c r="B11" i="9"/>
  <c r="B10" i="9"/>
  <c r="B9" i="9"/>
  <c r="B8" i="9"/>
  <c r="F2" i="9"/>
  <c r="G2" i="9" s="1"/>
  <c r="H2" i="9" s="1"/>
  <c r="I2" i="9" s="1"/>
  <c r="J2" i="9" l="1"/>
  <c r="J2" i="11" s="1"/>
  <c r="I27" i="10"/>
  <c r="I26" i="16"/>
  <c r="I11" i="19" s="1"/>
  <c r="E13" i="10"/>
  <c r="F13" i="10" s="1"/>
  <c r="E69" i="9"/>
  <c r="H69" i="9"/>
  <c r="G74" i="9"/>
  <c r="F69" i="9"/>
  <c r="G69" i="9"/>
  <c r="I68" i="9"/>
  <c r="H74" i="9"/>
  <c r="H2" i="11"/>
  <c r="I2" i="11"/>
  <c r="I56" i="9"/>
  <c r="I6" i="10" s="1"/>
  <c r="F2" i="11"/>
  <c r="F5" i="10"/>
  <c r="F14" i="10" s="1"/>
  <c r="G14" i="10" s="1"/>
  <c r="H14" i="10" s="1"/>
  <c r="I14" i="10" s="1"/>
  <c r="J14" i="10" s="1"/>
  <c r="K14" i="10" s="1"/>
  <c r="L14" i="10" s="1"/>
  <c r="M14" i="10" s="1"/>
  <c r="G2" i="11"/>
  <c r="E44" i="9"/>
  <c r="G2" i="10"/>
  <c r="F2" i="10"/>
  <c r="H2" i="10"/>
  <c r="F6" i="10"/>
  <c r="I2" i="10"/>
  <c r="G44" i="9"/>
  <c r="F44" i="9"/>
  <c r="H55" i="9"/>
  <c r="G5" i="10"/>
  <c r="G15" i="10" s="1"/>
  <c r="H15" i="10" s="1"/>
  <c r="I15" i="10" s="1"/>
  <c r="J15" i="10" s="1"/>
  <c r="K15" i="10" s="1"/>
  <c r="L15" i="10" s="1"/>
  <c r="M15" i="10" s="1"/>
  <c r="I26" i="10"/>
  <c r="E11" i="9"/>
  <c r="E81" i="9" s="1"/>
  <c r="G11" i="9"/>
  <c r="G81" i="9" s="1"/>
  <c r="F11" i="9"/>
  <c r="F81" i="9" s="1"/>
  <c r="I6" i="11" l="1"/>
  <c r="I8" i="11" s="1"/>
  <c r="J5" i="11" s="1"/>
  <c r="J2" i="10"/>
  <c r="K2" i="9"/>
  <c r="E46" i="9"/>
  <c r="E58" i="9"/>
  <c r="E49" i="9"/>
  <c r="E82" i="9"/>
  <c r="E47" i="9"/>
  <c r="E48" i="9"/>
  <c r="F48" i="9"/>
  <c r="F47" i="9"/>
  <c r="G47" i="9"/>
  <c r="G48" i="9"/>
  <c r="F46" i="9"/>
  <c r="F58" i="9"/>
  <c r="F49" i="9"/>
  <c r="F82" i="9"/>
  <c r="G58" i="9"/>
  <c r="G49" i="9"/>
  <c r="G82" i="9"/>
  <c r="G46" i="9"/>
  <c r="I33" i="16"/>
  <c r="I31" i="15" s="1"/>
  <c r="I24" i="16"/>
  <c r="I28" i="16" s="1"/>
  <c r="E23" i="10"/>
  <c r="I16" i="11"/>
  <c r="I28" i="10"/>
  <c r="I29" i="10" s="1"/>
  <c r="J56" i="9"/>
  <c r="J6" i="10" s="1"/>
  <c r="J24" i="16" s="1"/>
  <c r="I55" i="9"/>
  <c r="H5" i="10"/>
  <c r="H16" i="10" s="1"/>
  <c r="I16" i="10" s="1"/>
  <c r="J16" i="10" s="1"/>
  <c r="K16" i="10" s="1"/>
  <c r="L16" i="10" s="1"/>
  <c r="M16" i="10" s="1"/>
  <c r="G13" i="10"/>
  <c r="F23" i="10"/>
  <c r="F33" i="9"/>
  <c r="G35" i="9"/>
  <c r="E22" i="9"/>
  <c r="E33" i="9"/>
  <c r="F34" i="9"/>
  <c r="E34" i="9"/>
  <c r="G22" i="9"/>
  <c r="G33" i="9"/>
  <c r="F35" i="9"/>
  <c r="G34" i="9"/>
  <c r="E35" i="9"/>
  <c r="G21" i="9"/>
  <c r="E21" i="9"/>
  <c r="E23" i="9"/>
  <c r="G23" i="9"/>
  <c r="F22" i="9"/>
  <c r="F21" i="9"/>
  <c r="F23" i="9"/>
  <c r="J33" i="16" l="1"/>
  <c r="J31" i="15" s="1"/>
  <c r="L2" i="9"/>
  <c r="K2" i="10"/>
  <c r="K2" i="11"/>
  <c r="J28" i="10"/>
  <c r="J6" i="11"/>
  <c r="J8" i="11" s="1"/>
  <c r="K56" i="9"/>
  <c r="K6" i="10" s="1"/>
  <c r="K24" i="16" s="1"/>
  <c r="J26" i="10"/>
  <c r="J9" i="10"/>
  <c r="I10" i="11"/>
  <c r="I12" i="11" s="1"/>
  <c r="J55" i="9"/>
  <c r="I5" i="10"/>
  <c r="G23" i="10"/>
  <c r="H13" i="10"/>
  <c r="I17" i="10" l="1"/>
  <c r="J17" i="10" s="1"/>
  <c r="K17" i="10" s="1"/>
  <c r="L17" i="10" s="1"/>
  <c r="M17" i="10" s="1"/>
  <c r="I31" i="10"/>
  <c r="K33" i="16"/>
  <c r="K31" i="15" s="1"/>
  <c r="K6" i="11"/>
  <c r="M2" i="9"/>
  <c r="L2" i="10"/>
  <c r="L2" i="11"/>
  <c r="L56" i="9"/>
  <c r="L6" i="10" s="1"/>
  <c r="L24" i="16" s="1"/>
  <c r="J27" i="10"/>
  <c r="J29" i="10" s="1"/>
  <c r="K9" i="10" s="1"/>
  <c r="K26" i="16" s="1"/>
  <c r="K11" i="19" s="1"/>
  <c r="J26" i="16"/>
  <c r="J11" i="19" s="1"/>
  <c r="K5" i="11"/>
  <c r="K8" i="11" s="1"/>
  <c r="L5" i="11" s="1"/>
  <c r="K28" i="10"/>
  <c r="J68" i="9"/>
  <c r="K55" i="9"/>
  <c r="J5" i="10"/>
  <c r="H23" i="10"/>
  <c r="I13" i="10"/>
  <c r="G64" i="3"/>
  <c r="G63" i="3"/>
  <c r="G60" i="3"/>
  <c r="G59" i="3"/>
  <c r="G58" i="3"/>
  <c r="B48" i="3"/>
  <c r="E56" i="3"/>
  <c r="G51" i="3"/>
  <c r="F51" i="3"/>
  <c r="H50" i="3"/>
  <c r="G50" i="3"/>
  <c r="F50" i="3"/>
  <c r="F47" i="3"/>
  <c r="G47" i="3"/>
  <c r="G46" i="3"/>
  <c r="F46" i="3"/>
  <c r="G45" i="3"/>
  <c r="F45" i="3"/>
  <c r="B52" i="3"/>
  <c r="B51" i="3"/>
  <c r="B50" i="3"/>
  <c r="B47" i="3"/>
  <c r="B46" i="3"/>
  <c r="H37" i="10"/>
  <c r="F2" i="3"/>
  <c r="H7" i="3"/>
  <c r="H10" i="9" s="1"/>
  <c r="H6" i="3"/>
  <c r="H9" i="9" s="1"/>
  <c r="H5" i="3"/>
  <c r="H26" i="3"/>
  <c r="H24" i="3"/>
  <c r="H23" i="3"/>
  <c r="H14" i="3"/>
  <c r="H13" i="3"/>
  <c r="H30" i="9" s="1"/>
  <c r="H12" i="3"/>
  <c r="H29" i="9" s="1"/>
  <c r="H11" i="3"/>
  <c r="H45" i="3" s="1"/>
  <c r="S15" i="3"/>
  <c r="S17" i="3" s="1"/>
  <c r="S18" i="3" s="1"/>
  <c r="R15" i="3"/>
  <c r="R17" i="3" s="1"/>
  <c r="R20" i="3" s="1"/>
  <c r="R25" i="3" s="1"/>
  <c r="R27" i="3" s="1"/>
  <c r="Q15" i="3"/>
  <c r="Q17" i="3" s="1"/>
  <c r="Q20" i="3" s="1"/>
  <c r="Q25" i="3" s="1"/>
  <c r="Q27" i="3" s="1"/>
  <c r="P15" i="3"/>
  <c r="E15" i="3"/>
  <c r="F15" i="3"/>
  <c r="G15" i="3"/>
  <c r="L28" i="10" l="1"/>
  <c r="J18" i="10"/>
  <c r="K18" i="10" s="1"/>
  <c r="L18" i="10" s="1"/>
  <c r="M18" i="10" s="1"/>
  <c r="J31" i="10"/>
  <c r="L33" i="16"/>
  <c r="L31" i="15" s="1"/>
  <c r="L6" i="11"/>
  <c r="L8" i="11" s="1"/>
  <c r="M5" i="11" s="1"/>
  <c r="J28" i="16"/>
  <c r="K26" i="10"/>
  <c r="K28" i="16"/>
  <c r="M56" i="9"/>
  <c r="M6" i="10" s="1"/>
  <c r="M24" i="16" s="1"/>
  <c r="M2" i="10"/>
  <c r="M2" i="11"/>
  <c r="H31" i="9"/>
  <c r="H37" i="3"/>
  <c r="F2" i="15"/>
  <c r="R2" i="15" s="1"/>
  <c r="F2" i="16"/>
  <c r="J16" i="11"/>
  <c r="K68" i="9"/>
  <c r="J10" i="11"/>
  <c r="J12" i="11" s="1"/>
  <c r="K27" i="10"/>
  <c r="H46" i="3"/>
  <c r="H8" i="9"/>
  <c r="H8" i="3"/>
  <c r="H59" i="3" s="1"/>
  <c r="F56" i="3"/>
  <c r="H51" i="3"/>
  <c r="F42" i="3"/>
  <c r="I35" i="10"/>
  <c r="H47" i="3"/>
  <c r="H63" i="3"/>
  <c r="H15" i="3"/>
  <c r="H28" i="9"/>
  <c r="L55" i="9"/>
  <c r="K5" i="10"/>
  <c r="I23" i="10"/>
  <c r="I32" i="10" s="1"/>
  <c r="I36" i="10" s="1"/>
  <c r="I19" i="3" s="1"/>
  <c r="J13" i="10"/>
  <c r="Q18" i="3"/>
  <c r="R18" i="3"/>
  <c r="P17" i="3"/>
  <c r="S20" i="3"/>
  <c r="K19" i="10" l="1"/>
  <c r="L19" i="10" s="1"/>
  <c r="M19" i="10" s="1"/>
  <c r="K31" i="10"/>
  <c r="M33" i="16"/>
  <c r="M31" i="15" s="1"/>
  <c r="M6" i="11"/>
  <c r="M8" i="11" s="1"/>
  <c r="M28" i="10"/>
  <c r="K29" i="10"/>
  <c r="L26" i="10" s="1"/>
  <c r="I37" i="10"/>
  <c r="I7" i="16" s="1"/>
  <c r="I41" i="18" s="1"/>
  <c r="K16" i="11"/>
  <c r="L10" i="11"/>
  <c r="L12" i="11" s="1"/>
  <c r="K10" i="11"/>
  <c r="K12" i="11" s="1"/>
  <c r="H44" i="9"/>
  <c r="H48" i="9" s="1"/>
  <c r="H17" i="3"/>
  <c r="H58" i="3"/>
  <c r="H44" i="3"/>
  <c r="H60" i="3"/>
  <c r="H11" i="9"/>
  <c r="H81" i="9" s="1"/>
  <c r="H64" i="3"/>
  <c r="M55" i="9"/>
  <c r="M5" i="10" s="1"/>
  <c r="M31" i="10" s="1"/>
  <c r="L5" i="10"/>
  <c r="L31" i="10" s="1"/>
  <c r="J23" i="10"/>
  <c r="J32" i="10" s="1"/>
  <c r="J36" i="10" s="1"/>
  <c r="J19" i="3" s="1"/>
  <c r="K13" i="10"/>
  <c r="P20" i="3"/>
  <c r="P18" i="3"/>
  <c r="H18" i="3"/>
  <c r="S25" i="3"/>
  <c r="I9" i="19" l="1"/>
  <c r="L9" i="10"/>
  <c r="L26" i="16" s="1"/>
  <c r="L11" i="19" s="1"/>
  <c r="H32" i="3"/>
  <c r="H58" i="9"/>
  <c r="H49" i="9"/>
  <c r="H82" i="9"/>
  <c r="H33" i="9"/>
  <c r="J35" i="10"/>
  <c r="I11" i="9"/>
  <c r="H35" i="9"/>
  <c r="H34" i="9"/>
  <c r="H22" i="9"/>
  <c r="H23" i="9"/>
  <c r="H21" i="9"/>
  <c r="H20" i="3"/>
  <c r="H61" i="3"/>
  <c r="L13" i="10"/>
  <c r="K23" i="10"/>
  <c r="K32" i="10" s="1"/>
  <c r="K36" i="10" s="1"/>
  <c r="K19" i="3" s="1"/>
  <c r="P25" i="3"/>
  <c r="P27" i="3" s="1"/>
  <c r="S27" i="3"/>
  <c r="E8" i="3"/>
  <c r="F8" i="3"/>
  <c r="G17" i="3"/>
  <c r="G32" i="3" s="1"/>
  <c r="L28" i="16" l="1"/>
  <c r="L20" i="10"/>
  <c r="M20" i="10" s="1"/>
  <c r="L27" i="10"/>
  <c r="L29" i="10" s="1"/>
  <c r="L68" i="9"/>
  <c r="L16" i="11" s="1"/>
  <c r="H33" i="3"/>
  <c r="G20" i="3"/>
  <c r="G21" i="3" s="1"/>
  <c r="I12" i="15"/>
  <c r="I10" i="15"/>
  <c r="I39" i="15"/>
  <c r="I21" i="15"/>
  <c r="I33" i="15"/>
  <c r="J37" i="10"/>
  <c r="M10" i="11"/>
  <c r="M12" i="11" s="1"/>
  <c r="H25" i="3"/>
  <c r="H27" i="3" s="1"/>
  <c r="H21" i="3"/>
  <c r="E17" i="3"/>
  <c r="E32" i="3" s="1"/>
  <c r="E59" i="3"/>
  <c r="E63" i="3"/>
  <c r="E58" i="3"/>
  <c r="E64" i="3"/>
  <c r="E60" i="3"/>
  <c r="F64" i="3"/>
  <c r="G44" i="3"/>
  <c r="F60" i="3"/>
  <c r="F44" i="3"/>
  <c r="F63" i="3"/>
  <c r="F59" i="3"/>
  <c r="F58" i="3"/>
  <c r="I9" i="9"/>
  <c r="I6" i="3" s="1"/>
  <c r="I8" i="9"/>
  <c r="I5" i="3" s="1"/>
  <c r="J11" i="9"/>
  <c r="I28" i="9"/>
  <c r="I30" i="9"/>
  <c r="I13" i="3" s="1"/>
  <c r="I10" i="9"/>
  <c r="I7" i="3" s="1"/>
  <c r="I31" i="9"/>
  <c r="I14" i="3" s="1"/>
  <c r="M26" i="10"/>
  <c r="M9" i="10"/>
  <c r="L23" i="10"/>
  <c r="L32" i="10" s="1"/>
  <c r="L36" i="10" s="1"/>
  <c r="L19" i="3" s="1"/>
  <c r="M13" i="10"/>
  <c r="H48" i="3"/>
  <c r="G61" i="3"/>
  <c r="G25" i="3"/>
  <c r="G18" i="3"/>
  <c r="F17" i="3"/>
  <c r="F32" i="3" s="1"/>
  <c r="F33" i="3" s="1"/>
  <c r="E20" i="3"/>
  <c r="I17" i="16" l="1"/>
  <c r="J9" i="19"/>
  <c r="J7" i="16"/>
  <c r="J41" i="18" s="1"/>
  <c r="H83" i="9"/>
  <c r="H26" i="18"/>
  <c r="H29" i="18" s="1"/>
  <c r="H38" i="18"/>
  <c r="G33" i="3"/>
  <c r="G48" i="3"/>
  <c r="E18" i="3"/>
  <c r="I14" i="16"/>
  <c r="I12" i="16"/>
  <c r="H46" i="9"/>
  <c r="J12" i="15"/>
  <c r="J33" i="15"/>
  <c r="J39" i="15"/>
  <c r="J21" i="15"/>
  <c r="J15" i="16" s="1"/>
  <c r="J10" i="15"/>
  <c r="I15" i="16"/>
  <c r="K35" i="10"/>
  <c r="K37" i="10" s="1"/>
  <c r="M26" i="16"/>
  <c r="M11" i="19" s="1"/>
  <c r="H37" i="9"/>
  <c r="H4" i="18" s="1"/>
  <c r="H65" i="3"/>
  <c r="M68" i="9"/>
  <c r="E25" i="3"/>
  <c r="E37" i="9" s="1"/>
  <c r="E4" i="18" s="1"/>
  <c r="E23" i="18" s="1"/>
  <c r="E21" i="3"/>
  <c r="J8" i="9"/>
  <c r="J5" i="3" s="1"/>
  <c r="J28" i="9"/>
  <c r="J9" i="9"/>
  <c r="J6" i="3" s="1"/>
  <c r="K11" i="9"/>
  <c r="J31" i="9"/>
  <c r="J14" i="3" s="1"/>
  <c r="J30" i="9"/>
  <c r="J13" i="3" s="1"/>
  <c r="J10" i="9"/>
  <c r="J7" i="3" s="1"/>
  <c r="I11" i="3"/>
  <c r="I44" i="9"/>
  <c r="I11" i="15" s="1"/>
  <c r="F48" i="3"/>
  <c r="F61" i="3"/>
  <c r="I8" i="3"/>
  <c r="G27" i="3"/>
  <c r="G65" i="3" s="1"/>
  <c r="G37" i="9"/>
  <c r="G4" i="18" s="1"/>
  <c r="E61" i="3"/>
  <c r="M27" i="10"/>
  <c r="M29" i="10" s="1"/>
  <c r="M21" i="10"/>
  <c r="M23" i="10" s="1"/>
  <c r="M32" i="10" s="1"/>
  <c r="M36" i="10" s="1"/>
  <c r="M19" i="3" s="1"/>
  <c r="F20" i="3"/>
  <c r="F18" i="3"/>
  <c r="G2" i="3"/>
  <c r="K7" i="16" l="1"/>
  <c r="K41" i="18" s="1"/>
  <c r="K9" i="19"/>
  <c r="I15" i="3"/>
  <c r="I33" i="18"/>
  <c r="G21" i="18"/>
  <c r="G23" i="18"/>
  <c r="H23" i="18"/>
  <c r="H21" i="18"/>
  <c r="I40" i="18"/>
  <c r="M28" i="16"/>
  <c r="E27" i="3"/>
  <c r="H52" i="3"/>
  <c r="G83" i="9"/>
  <c r="G2" i="15"/>
  <c r="S2" i="15" s="1"/>
  <c r="G2" i="16"/>
  <c r="E65" i="3"/>
  <c r="E83" i="9"/>
  <c r="J12" i="16"/>
  <c r="I32" i="15"/>
  <c r="K39" i="15"/>
  <c r="K10" i="15"/>
  <c r="K12" i="15"/>
  <c r="K33" i="15"/>
  <c r="K21" i="15"/>
  <c r="K15" i="16" s="1"/>
  <c r="J17" i="16"/>
  <c r="J14" i="16"/>
  <c r="L35" i="10"/>
  <c r="L37" i="10" s="1"/>
  <c r="M16" i="11"/>
  <c r="F25" i="3"/>
  <c r="F37" i="9" s="1"/>
  <c r="F4" i="18" s="1"/>
  <c r="F21" i="3"/>
  <c r="J8" i="3"/>
  <c r="J11" i="3"/>
  <c r="J44" i="9"/>
  <c r="F27" i="3"/>
  <c r="F83" i="9" s="1"/>
  <c r="L11" i="9"/>
  <c r="K28" i="9"/>
  <c r="K31" i="9"/>
  <c r="K14" i="3" s="1"/>
  <c r="K9" i="9"/>
  <c r="K6" i="3" s="1"/>
  <c r="K30" i="9"/>
  <c r="K13" i="3" s="1"/>
  <c r="K10" i="9"/>
  <c r="K7" i="3" s="1"/>
  <c r="K8" i="9"/>
  <c r="K5" i="3" s="1"/>
  <c r="I17" i="3"/>
  <c r="G56" i="3"/>
  <c r="G42" i="3"/>
  <c r="H2" i="3"/>
  <c r="M35" i="10" l="1"/>
  <c r="J15" i="3"/>
  <c r="J40" i="18"/>
  <c r="F23" i="18"/>
  <c r="F21" i="18"/>
  <c r="H2" i="15"/>
  <c r="T2" i="15" s="1"/>
  <c r="H2" i="16"/>
  <c r="M37" i="10"/>
  <c r="L33" i="15"/>
  <c r="L10" i="15"/>
  <c r="L12" i="16" s="1"/>
  <c r="L39" i="15"/>
  <c r="L21" i="15"/>
  <c r="L15" i="16" s="1"/>
  <c r="L12" i="15"/>
  <c r="I13" i="16"/>
  <c r="H47" i="9"/>
  <c r="K14" i="16"/>
  <c r="I16" i="16"/>
  <c r="I34" i="15"/>
  <c r="J11" i="15"/>
  <c r="J13" i="16" s="1"/>
  <c r="J32" i="15"/>
  <c r="K17" i="16"/>
  <c r="K12" i="16"/>
  <c r="J17" i="3"/>
  <c r="K11" i="3"/>
  <c r="K44" i="9"/>
  <c r="L28" i="9"/>
  <c r="L31" i="9"/>
  <c r="L14" i="3" s="1"/>
  <c r="L30" i="9"/>
  <c r="L13" i="3" s="1"/>
  <c r="L9" i="9"/>
  <c r="L6" i="3" s="1"/>
  <c r="L10" i="9"/>
  <c r="L7" i="3" s="1"/>
  <c r="L8" i="9"/>
  <c r="L5" i="3" s="1"/>
  <c r="M11" i="9"/>
  <c r="H56" i="3"/>
  <c r="H42" i="3"/>
  <c r="I18" i="3"/>
  <c r="I20" i="3"/>
  <c r="I6" i="19" s="1"/>
  <c r="F52" i="3"/>
  <c r="F65" i="3"/>
  <c r="G52" i="3"/>
  <c r="K8" i="3"/>
  <c r="I2" i="3"/>
  <c r="L7" i="16" l="1"/>
  <c r="L41" i="18" s="1"/>
  <c r="L9" i="19"/>
  <c r="M7" i="16"/>
  <c r="M41" i="18" s="1"/>
  <c r="M9" i="19"/>
  <c r="I8" i="19"/>
  <c r="J20" i="3"/>
  <c r="J21" i="3" s="1"/>
  <c r="I4" i="18"/>
  <c r="K40" i="18"/>
  <c r="J33" i="18"/>
  <c r="K15" i="3"/>
  <c r="K17" i="3" s="1"/>
  <c r="I2" i="15"/>
  <c r="I2" i="16"/>
  <c r="I18" i="16"/>
  <c r="I10" i="19" s="1"/>
  <c r="K11" i="15"/>
  <c r="K33" i="18" s="1"/>
  <c r="K32" i="15"/>
  <c r="J16" i="16"/>
  <c r="J18" i="16" s="1"/>
  <c r="J10" i="19" s="1"/>
  <c r="J34" i="15"/>
  <c r="M10" i="15"/>
  <c r="M12" i="16" s="1"/>
  <c r="M21" i="15"/>
  <c r="M15" i="16" s="1"/>
  <c r="M33" i="15"/>
  <c r="M12" i="15"/>
  <c r="M14" i="16" s="1"/>
  <c r="M39" i="15"/>
  <c r="J18" i="3"/>
  <c r="L17" i="16"/>
  <c r="L14" i="16"/>
  <c r="I21" i="3"/>
  <c r="L8" i="3"/>
  <c r="L11" i="3"/>
  <c r="L44" i="9"/>
  <c r="M9" i="9"/>
  <c r="M6" i="3" s="1"/>
  <c r="M31" i="9"/>
  <c r="M14" i="3" s="1"/>
  <c r="M30" i="9"/>
  <c r="M13" i="3" s="1"/>
  <c r="M8" i="9"/>
  <c r="M5" i="3" s="1"/>
  <c r="M28" i="9"/>
  <c r="M10" i="9"/>
  <c r="M7" i="3" s="1"/>
  <c r="J2" i="3"/>
  <c r="I12" i="19" l="1"/>
  <c r="I23" i="19" s="1"/>
  <c r="J4" i="18"/>
  <c r="J6" i="19"/>
  <c r="K20" i="3"/>
  <c r="K21" i="3" s="1"/>
  <c r="L40" i="18"/>
  <c r="L15" i="3"/>
  <c r="L17" i="3" s="1"/>
  <c r="J2" i="16"/>
  <c r="J2" i="15"/>
  <c r="L32" i="15"/>
  <c r="L11" i="15"/>
  <c r="L13" i="16" s="1"/>
  <c r="M17" i="16"/>
  <c r="K18" i="3"/>
  <c r="K13" i="16"/>
  <c r="K16" i="16"/>
  <c r="K34" i="15"/>
  <c r="M11" i="3"/>
  <c r="M44" i="9"/>
  <c r="M8" i="3"/>
  <c r="K2" i="3"/>
  <c r="J8" i="19" l="1"/>
  <c r="K4" i="18"/>
  <c r="K6" i="19"/>
  <c r="L33" i="18"/>
  <c r="M15" i="3"/>
  <c r="M17" i="3" s="1"/>
  <c r="M40" i="18"/>
  <c r="K2" i="15"/>
  <c r="K2" i="16"/>
  <c r="M32" i="15"/>
  <c r="M11" i="15"/>
  <c r="M13" i="16" s="1"/>
  <c r="K18" i="16"/>
  <c r="K10" i="19" s="1"/>
  <c r="L16" i="16"/>
  <c r="L18" i="16" s="1"/>
  <c r="L10" i="19" s="1"/>
  <c r="L34" i="15"/>
  <c r="L18" i="3"/>
  <c r="L20" i="3"/>
  <c r="L2" i="3"/>
  <c r="J12" i="19" l="1"/>
  <c r="J23" i="19" s="1"/>
  <c r="L4" i="18"/>
  <c r="L6" i="19"/>
  <c r="K8" i="19"/>
  <c r="M18" i="3"/>
  <c r="M33" i="18"/>
  <c r="L2" i="15"/>
  <c r="L2" i="16"/>
  <c r="M16" i="16"/>
  <c r="M18" i="16" s="1"/>
  <c r="M10" i="19" s="1"/>
  <c r="M34" i="15"/>
  <c r="M20" i="3"/>
  <c r="M6" i="19" s="1"/>
  <c r="L21" i="3"/>
  <c r="M2" i="3"/>
  <c r="K12" i="19" l="1"/>
  <c r="K23" i="19" s="1"/>
  <c r="M8" i="19"/>
  <c r="M12" i="19" s="1"/>
  <c r="L8" i="19"/>
  <c r="M21" i="3"/>
  <c r="M4" i="18"/>
  <c r="M2" i="15"/>
  <c r="M2" i="16"/>
  <c r="F74" i="9"/>
  <c r="I73" i="9" s="1"/>
  <c r="L12" i="19" l="1"/>
  <c r="L23" i="19" s="1"/>
  <c r="M23" i="19"/>
  <c r="I34" i="16"/>
  <c r="I38" i="15" s="1"/>
  <c r="I40" i="15" s="1"/>
  <c r="I17" i="11"/>
  <c r="I18" i="11" s="1"/>
  <c r="I64" i="9" s="1"/>
  <c r="H26" i="19" l="1"/>
  <c r="H47" i="19"/>
  <c r="H53" i="19" s="1"/>
  <c r="D55" i="19" s="1"/>
  <c r="I20" i="11"/>
  <c r="I22" i="11" s="1"/>
  <c r="J15" i="11"/>
  <c r="J73" i="9"/>
  <c r="F80" i="19" l="1"/>
  <c r="E63" i="19"/>
  <c r="F63" i="19" s="1"/>
  <c r="H32" i="19"/>
  <c r="D34" i="19" s="1"/>
  <c r="I32" i="11"/>
  <c r="I23" i="3" s="1"/>
  <c r="J17" i="11"/>
  <c r="J18" i="11" s="1"/>
  <c r="J64" i="9" s="1"/>
  <c r="K73" i="9" s="1"/>
  <c r="J34" i="16"/>
  <c r="J38" i="15" s="1"/>
  <c r="F70" i="19" l="1"/>
  <c r="E62" i="19"/>
  <c r="F62" i="19" s="1"/>
  <c r="F64" i="19" s="1"/>
  <c r="I11" i="18"/>
  <c r="I25" i="3"/>
  <c r="I26" i="3" s="1"/>
  <c r="I27" i="3" s="1"/>
  <c r="I26" i="18" s="1"/>
  <c r="I35" i="16"/>
  <c r="I12" i="18" s="1"/>
  <c r="I9" i="16"/>
  <c r="I17" i="15" s="1"/>
  <c r="I34" i="18" s="1"/>
  <c r="K15" i="11"/>
  <c r="J20" i="11"/>
  <c r="J22" i="11" s="1"/>
  <c r="K17" i="11"/>
  <c r="K34" i="16"/>
  <c r="K38" i="15" s="1"/>
  <c r="J40" i="15"/>
  <c r="I32" i="18" l="1"/>
  <c r="I22" i="15"/>
  <c r="J32" i="11"/>
  <c r="J23" i="3" s="1"/>
  <c r="K18" i="11"/>
  <c r="K64" i="9" s="1"/>
  <c r="L73" i="9" s="1"/>
  <c r="L17" i="11" s="1"/>
  <c r="I31" i="16"/>
  <c r="I36" i="16" s="1"/>
  <c r="I6" i="16"/>
  <c r="I20" i="16" s="1"/>
  <c r="I38" i="18" s="1"/>
  <c r="K40" i="15"/>
  <c r="I44" i="15"/>
  <c r="J11" i="18" l="1"/>
  <c r="J25" i="3"/>
  <c r="J26" i="3" s="1"/>
  <c r="J27" i="3" s="1"/>
  <c r="J26" i="18" s="1"/>
  <c r="J9" i="16"/>
  <c r="J17" i="15" s="1"/>
  <c r="J35" i="16"/>
  <c r="J12" i="18" s="1"/>
  <c r="I38" i="16"/>
  <c r="I42" i="16" s="1"/>
  <c r="I43" i="16" s="1"/>
  <c r="J41" i="16" s="1"/>
  <c r="L15" i="11"/>
  <c r="L18" i="11" s="1"/>
  <c r="L64" i="9" s="1"/>
  <c r="M73" i="9" s="1"/>
  <c r="M34" i="16" s="1"/>
  <c r="L34" i="16"/>
  <c r="L38" i="15" s="1"/>
  <c r="L40" i="15" s="1"/>
  <c r="K20" i="11"/>
  <c r="K22" i="11" s="1"/>
  <c r="I18" i="18"/>
  <c r="I37" i="18"/>
  <c r="I39" i="18"/>
  <c r="I46" i="16"/>
  <c r="I45" i="15"/>
  <c r="J6" i="16" l="1"/>
  <c r="J20" i="16" s="1"/>
  <c r="K32" i="11"/>
  <c r="K23" i="3" s="1"/>
  <c r="I8" i="15"/>
  <c r="I5" i="18" s="1"/>
  <c r="I23" i="18" s="1"/>
  <c r="J34" i="18"/>
  <c r="J32" i="18"/>
  <c r="J22" i="15"/>
  <c r="J31" i="16"/>
  <c r="J36" i="16" s="1"/>
  <c r="J38" i="16" s="1"/>
  <c r="J42" i="16" s="1"/>
  <c r="J43" i="16" s="1"/>
  <c r="M38" i="15"/>
  <c r="M40" i="15" s="1"/>
  <c r="L20" i="11"/>
  <c r="L22" i="11" s="1"/>
  <c r="M15" i="11"/>
  <c r="J18" i="18"/>
  <c r="J38" i="18"/>
  <c r="J39" i="18"/>
  <c r="J37" i="18"/>
  <c r="M17" i="11"/>
  <c r="I13" i="15"/>
  <c r="I17" i="18"/>
  <c r="I10" i="18"/>
  <c r="I47" i="15"/>
  <c r="I9" i="18"/>
  <c r="K25" i="3" l="1"/>
  <c r="K9" i="16"/>
  <c r="K17" i="15" s="1"/>
  <c r="K22" i="15" s="1"/>
  <c r="K35" i="16"/>
  <c r="K12" i="18" s="1"/>
  <c r="K11" i="18"/>
  <c r="J44" i="15"/>
  <c r="J45" i="15" s="1"/>
  <c r="J47" i="15" s="1"/>
  <c r="J46" i="16"/>
  <c r="L32" i="11"/>
  <c r="L23" i="3" s="1"/>
  <c r="M18" i="11"/>
  <c r="M64" i="9" s="1"/>
  <c r="K32" i="18"/>
  <c r="I24" i="15"/>
  <c r="I15" i="18"/>
  <c r="I16" i="18"/>
  <c r="K41" i="16"/>
  <c r="J8" i="15"/>
  <c r="J5" i="18" l="1"/>
  <c r="J23" i="18" s="1"/>
  <c r="J9" i="18"/>
  <c r="L11" i="18"/>
  <c r="L35" i="16"/>
  <c r="L12" i="18" s="1"/>
  <c r="L9" i="16"/>
  <c r="L17" i="15" s="1"/>
  <c r="L32" i="18" s="1"/>
  <c r="L25" i="3"/>
  <c r="L26" i="3" s="1"/>
  <c r="M20" i="11"/>
  <c r="M22" i="11" s="1"/>
  <c r="K34" i="18"/>
  <c r="K26" i="3"/>
  <c r="K27" i="3" s="1"/>
  <c r="L34" i="18"/>
  <c r="L22" i="15"/>
  <c r="I28" i="18"/>
  <c r="I27" i="18"/>
  <c r="I22" i="18"/>
  <c r="I21" i="18"/>
  <c r="I49" i="15"/>
  <c r="J13" i="15"/>
  <c r="J10" i="18"/>
  <c r="J17" i="18"/>
  <c r="L27" i="3" l="1"/>
  <c r="L26" i="18" s="1"/>
  <c r="K26" i="18"/>
  <c r="K6" i="16"/>
  <c r="K20" i="16" s="1"/>
  <c r="K31" i="16"/>
  <c r="M32" i="11"/>
  <c r="M23" i="3" s="1"/>
  <c r="I29" i="18"/>
  <c r="J24" i="15"/>
  <c r="J16" i="18"/>
  <c r="J15" i="18"/>
  <c r="L31" i="16" l="1"/>
  <c r="L36" i="16" s="1"/>
  <c r="L6" i="16"/>
  <c r="L20" i="16" s="1"/>
  <c r="L18" i="18" s="1"/>
  <c r="L39" i="18"/>
  <c r="L46" i="16"/>
  <c r="M11" i="18"/>
  <c r="M25" i="3"/>
  <c r="M35" i="16"/>
  <c r="M12" i="18" s="1"/>
  <c r="M9" i="16"/>
  <c r="M17" i="15" s="1"/>
  <c r="K18" i="18"/>
  <c r="K46" i="16"/>
  <c r="K39" i="18"/>
  <c r="K38" i="18"/>
  <c r="K37" i="18"/>
  <c r="K36" i="16"/>
  <c r="K38" i="16" s="1"/>
  <c r="K42" i="16" s="1"/>
  <c r="K43" i="16" s="1"/>
  <c r="K44" i="15"/>
  <c r="L37" i="18"/>
  <c r="L38" i="18"/>
  <c r="L38" i="16"/>
  <c r="L42" i="16" s="1"/>
  <c r="J27" i="18"/>
  <c r="J22" i="18"/>
  <c r="J28" i="18"/>
  <c r="J21" i="18"/>
  <c r="J49" i="15"/>
  <c r="K8" i="15" l="1"/>
  <c r="L41" i="16"/>
  <c r="L43" i="16" s="1"/>
  <c r="K45" i="15"/>
  <c r="L44" i="15"/>
  <c r="L45" i="15" s="1"/>
  <c r="M26" i="3"/>
  <c r="M27" i="3" s="1"/>
  <c r="M22" i="15"/>
  <c r="M32" i="18"/>
  <c r="M34" i="18"/>
  <c r="J29" i="18"/>
  <c r="M41" i="16"/>
  <c r="L8" i="15"/>
  <c r="L5" i="18" s="1"/>
  <c r="L23" i="18" s="1"/>
  <c r="M26" i="18" l="1"/>
  <c r="M6" i="16"/>
  <c r="M20" i="16" s="1"/>
  <c r="M31" i="16"/>
  <c r="M36" i="16" s="1"/>
  <c r="L9" i="18"/>
  <c r="L47" i="15"/>
  <c r="K9" i="18"/>
  <c r="K47" i="15"/>
  <c r="K5" i="18"/>
  <c r="K23" i="18" s="1"/>
  <c r="K13" i="15"/>
  <c r="K10" i="18"/>
  <c r="K17" i="18"/>
  <c r="L13" i="15"/>
  <c r="L10" i="18"/>
  <c r="L17" i="18"/>
  <c r="M44" i="15" l="1"/>
  <c r="M45" i="15" s="1"/>
  <c r="M47" i="15" s="1"/>
  <c r="M37" i="18"/>
  <c r="M46" i="16"/>
  <c r="M38" i="16"/>
  <c r="M42" i="16" s="1"/>
  <c r="M43" i="16" s="1"/>
  <c r="M8" i="15" s="1"/>
  <c r="M38" i="18"/>
  <c r="M18" i="18"/>
  <c r="M39" i="18"/>
  <c r="M9" i="18"/>
  <c r="K24" i="15"/>
  <c r="K16" i="18"/>
  <c r="K15" i="18"/>
  <c r="L24" i="15"/>
  <c r="L16" i="18"/>
  <c r="L15" i="18"/>
  <c r="K49" i="15" l="1"/>
  <c r="K27" i="18"/>
  <c r="K22" i="18"/>
  <c r="K21" i="18"/>
  <c r="K28" i="18"/>
  <c r="K29" i="18" s="1"/>
  <c r="M5" i="18"/>
  <c r="M23" i="18" s="1"/>
  <c r="M10" i="18"/>
  <c r="M17" i="18"/>
  <c r="M13" i="15"/>
  <c r="L22" i="18"/>
  <c r="L27" i="18"/>
  <c r="L28" i="18"/>
  <c r="L21" i="18"/>
  <c r="L49" i="15"/>
  <c r="M15" i="18" l="1"/>
  <c r="M24" i="15"/>
  <c r="M16" i="18"/>
  <c r="L29" i="18"/>
  <c r="M21" i="18" l="1"/>
  <c r="M49" i="15"/>
  <c r="M22" i="18"/>
  <c r="M27" i="18"/>
  <c r="M28" i="18"/>
  <c r="M29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6" authorId="0" shapeId="0" xr:uid="{0264B8EC-B2F4-4B44-9C89-F496DF3B4CF0}">
      <text>
        <r>
          <rPr>
            <sz val="10"/>
            <rFont val="Arial"/>
            <family val="2"/>
          </rPr>
          <t>—</t>
        </r>
      </text>
    </comment>
    <comment ref="D6" authorId="0" shapeId="0" xr:uid="{A1DEB929-8253-480F-B7A5-F41C7FF5A4F8}">
      <text>
        <r>
          <rPr>
            <sz val="10"/>
            <rFont val="Arial"/>
            <family val="2"/>
          </rPr>
          <t>5% = nominal GDP proxy</t>
        </r>
      </text>
    </comment>
    <comment ref="E6" authorId="0" shapeId="0" xr:uid="{9479F910-E896-4941-B5B3-E135180C47AC}">
      <text>
        <r>
          <rPr>
            <sz val="10"/>
            <rFont val="Arial"/>
            <family val="2"/>
          </rPr>
          <t>5.5% = GDP + export premium</t>
        </r>
      </text>
    </comment>
    <comment ref="C7" authorId="0" shapeId="0" xr:uid="{C75B5C3C-19EA-4822-BE6C-F0AC4F7D62AE}">
      <text>
        <r>
          <rPr>
            <sz val="10"/>
            <rFont val="Arial"/>
            <family val="2"/>
          </rPr>
          <t>—</t>
        </r>
      </text>
    </comment>
    <comment ref="D7" authorId="0" shapeId="0" xr:uid="{6F667BC6-14C4-4F46-9B53-87D73053226F}">
      <text>
        <r>
          <rPr>
            <sz val="10"/>
            <rFont val="Arial"/>
            <family val="2"/>
          </rPr>
          <t>9.5x: Sector median</t>
        </r>
      </text>
    </comment>
    <comment ref="E7" authorId="0" shapeId="0" xr:uid="{529948A3-0954-40F4-974E-09A4C62F068C}">
      <text>
        <r>
          <rPr>
            <sz val="10"/>
            <rFont val="Arial"/>
            <family val="2"/>
          </rPr>
          <t>12.0x: EV re-rating premium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Abhishek</author>
    <author>Unknown Author</author>
  </authors>
  <commentList>
    <comment ref="C13" authorId="0" shapeId="0" xr:uid="{DA757221-364F-4862-8B1A-C99BA440D2A0}">
      <text>
        <r>
          <rPr>
            <sz val="8"/>
            <color indexed="81"/>
            <rFont val="Arial"/>
            <family val="2"/>
          </rPr>
          <t>Driver: India MHCV production cycle.
FY27E 10%: CV upcycle post-election capex + infra push (NHAI, port connectivity).
FY28-29E 9%: Normalisation to long-run CV growth rate.
Source: SIAM FY25 annual report; historical corr ~0.85 to WIL revenue.</t>
        </r>
      </text>
    </comment>
    <comment ref="I13" authorId="0" shapeId="0" xr:uid="{11EDB8F4-7EB1-4602-8283-141340AB7DF3}">
      <text>
        <r>
          <rPr>
            <b/>
            <sz val="9"/>
            <color indexed="81"/>
            <rFont val="Tahoma"/>
            <family val="2"/>
          </rPr>
          <t xml:space="preserve">FY27E: 14.0%
</t>
        </r>
        <r>
          <rPr>
            <sz val="9"/>
            <color indexed="81"/>
            <rFont val="Tahoma"/>
            <family val="2"/>
          </rPr>
          <t>India CV production expected +8-14%
YoY driven by infrastructure spend &amp;
fleet replacement cycle post BS-VI.
NHAI ₹2.7L Cr annual capex sustains
demand.
Source: SIAM 2025 outlook.</t>
        </r>
      </text>
    </comment>
    <comment ref="J13" authorId="0" shapeId="0" xr:uid="{063AD191-CC09-4C75-B543-6EEE484ED820}">
      <text>
        <r>
          <rPr>
            <sz val="9"/>
            <color indexed="81"/>
            <rFont val="Tahoma"/>
            <family val="2"/>
          </rPr>
          <t>FY28E: 12.0%
Moderation from FY27 peak. Industry volume growth normalises as base effect kicks in.
Tractor + off-highway segment offsets CV softness.
Source: IHS Markit CV forecast.</t>
        </r>
      </text>
    </comment>
    <comment ref="K13" authorId="0" shapeId="0" xr:uid="{412D81CB-3C98-42F2-A18D-9F9396D9829D}">
      <text>
        <r>
          <rPr>
            <sz val="9"/>
            <color indexed="81"/>
            <rFont val="Tahoma"/>
            <family val="2"/>
          </rPr>
          <t>FY29E: 9.0%
Sustained at 9% — long-run India commercial vehicle CAGR benchmark.
Growth supported by EV fleet transition (new wheel specs) and export market expansion.
Source: Crisil Infrastructure Outlook 2025.</t>
        </r>
      </text>
    </comment>
    <comment ref="L13" authorId="0" shapeId="0" xr:uid="{B2047DA6-E232-4EF2-85F8-5C083FD56D45}">
      <text>
        <r>
          <rPr>
            <sz val="9"/>
            <color indexed="81"/>
            <rFont val="Tahoma"/>
            <family val="2"/>
          </rPr>
          <t>FY29E: 9.0%
Sustained at 9% — long-run India commercial vehicle CAGR benchmark.
Growth supported by EV fleet transition (new wheel specs) and export market expansion.
Source: Crisil Infrastructure Outlook 2025.</t>
        </r>
      </text>
    </comment>
    <comment ref="M13" authorId="0" shapeId="0" xr:uid="{F3D97F23-809B-46DE-AD94-28C84E7B31BC}">
      <text>
        <r>
          <rPr>
            <sz val="9"/>
            <color indexed="81"/>
            <rFont val="Tahoma"/>
            <family val="2"/>
          </rPr>
          <t>FY29E: 9.0%
Sustained at 9% — long-run India commercial vehicle CAGR benchmark.
Growth supported by EV fleet transition (new wheel specs) and export market expansion.
Source: Crisil Infrastructure Outlook 2025.</t>
        </r>
      </text>
    </comment>
    <comment ref="C14" authorId="0" shapeId="0" xr:uid="{E21922AB-4239-4F3D-9A70-6C6D319F1ADE}">
      <text>
        <r>
          <rPr>
            <b/>
            <sz val="8"/>
            <color indexed="81"/>
            <rFont val="Arial"/>
            <family val="2"/>
          </rPr>
          <t xml:space="preserve">Driver: </t>
        </r>
        <r>
          <rPr>
            <sz val="8"/>
            <color indexed="81"/>
            <rFont val="Arial"/>
            <family val="2"/>
          </rPr>
          <t>Product mix upgrade &amp; ASP realisation.
Larger rim sizes (22.5" for BS-VI trucks vs 20" earlier) carry ~15-20% higher ASP.
Off-highway premium segment growing. Alloy wheel penetration increasing.
Historical price growth: ~1-3% p.a. from mix alone.</t>
        </r>
      </text>
    </comment>
    <comment ref="I14" authorId="0" shapeId="0" xr:uid="{C37CB84B-A759-416F-9492-00B57E4E1673}">
      <text>
        <r>
          <rPr>
            <b/>
            <sz val="8"/>
            <color indexed="81"/>
            <rFont val="Tahoma"/>
            <family val="2"/>
          </rPr>
          <t>FY27E:</t>
        </r>
        <r>
          <rPr>
            <sz val="8"/>
            <color indexed="81"/>
            <rFont val="Tahoma"/>
            <family val="2"/>
          </rPr>
          <t xml:space="preserve"> 3.0%
BS-VI truck fleet transition accelerating demand for 22.5" rims.
OEM contracts being re-priced at premium. Still early in premiumisation curve.
</t>
        </r>
        <r>
          <rPr>
            <b/>
            <sz val="8"/>
            <color indexed="81"/>
            <rFont val="Tahoma"/>
            <family val="2"/>
          </rPr>
          <t xml:space="preserve">Source: </t>
        </r>
        <r>
          <rPr>
            <sz val="8"/>
            <color indexed="81"/>
            <rFont val="Tahoma"/>
            <family val="2"/>
          </rPr>
          <t>Company annual report commentary FY26.</t>
        </r>
      </text>
    </comment>
    <comment ref="J14" authorId="0" shapeId="0" xr:uid="{16FEEE5B-82C5-4EB8-90D6-DB0CF1AF9686}">
      <text>
        <r>
          <rPr>
            <sz val="9"/>
            <color indexed="81"/>
            <rFont val="Tahoma"/>
            <family val="2"/>
          </rPr>
          <t>FY28E: 3.5%
Premiumisation deepens as commercial fleet upgrades. Alloy wheel mix rising in PV segment.
Wheels India expanding into EV-specific rim designs with higher ASP.
Source: TVS Group strategic plan commentary.</t>
        </r>
      </text>
    </comment>
    <comment ref="K14" authorId="0" shapeId="0" xr:uid="{3BE35011-DDBD-4DD0-80D0-EC31C7C10AFA}">
      <text>
        <r>
          <rPr>
            <sz val="9"/>
            <color indexed="81"/>
            <rFont val="Tahoma"/>
            <family val="2"/>
          </rPr>
          <t>FY29E: 4.0%
Mature premiumisation run-rate. Premium off-highway and EV wheels at scale.
Export realisation uplift as international mix grows.
Target: Align ASP uplift to global OEM wheel contract renewals.</t>
        </r>
      </text>
    </comment>
    <comment ref="L14" authorId="0" shapeId="0" xr:uid="{0D52118F-71A6-486C-9B55-BDF41F804866}">
      <text>
        <r>
          <rPr>
            <sz val="9"/>
            <color indexed="81"/>
            <rFont val="Tahoma"/>
            <family val="2"/>
          </rPr>
          <t>FY30E Premiumisation: 4.5%
EV-specific wheel designs fully at scale. 22.5" rim market dominant.
Export mix rising – international customers carry 20-25% ASP premium.
Premiumisation CAGR FY27-31E: 4.2% – sustainable and evidence-based.</t>
        </r>
      </text>
    </comment>
    <comment ref="M14" authorId="0" shapeId="0" xr:uid="{D37FC76A-3467-4DD3-8A2A-BEEFEA17FD45}">
      <text>
        <r>
          <rPr>
            <sz val="9"/>
            <color indexed="81"/>
            <rFont val="Tahoma"/>
            <family val="2"/>
          </rPr>
          <t>FY31E Premiumisation: 5.0%
Mature premium product cycle. Services mix at 6%+ improves revenue quality.
ASP premium from export + EV wheels sustaining mix uplift.</t>
        </r>
      </text>
    </comment>
    <comment ref="C15" authorId="0" shapeId="0" xr:uid="{489C0849-91C2-4780-B283-BB631B2B804D}">
      <text>
        <r>
          <rPr>
            <b/>
            <sz val="8"/>
            <color indexed="81"/>
            <rFont val="Tahoma"/>
            <family val="2"/>
          </rPr>
          <t xml:space="preserve">
Formula used:
(1+A1)×(1+A2) -1</t>
        </r>
      </text>
    </comment>
    <comment ref="I21" authorId="0" shapeId="0" xr:uid="{05EC879D-23F5-4244-8411-0AC143C4517B}">
      <text>
        <r>
          <rPr>
            <sz val="8"/>
            <color indexed="81"/>
            <rFont val="Tahoma"/>
            <family val="2"/>
          </rPr>
          <t>FY27E: 89.5%
Product revenue share declining slowly as Services grows faster.
Core wheels business still dominant — OEM contracts are multi-year and volume-driven.
Not a structural threat; just mix dilution.</t>
        </r>
      </text>
    </comment>
    <comment ref="J21" authorId="0" shapeId="0" xr:uid="{0E6AE0D2-7D2A-42C3-9E6E-8433CA92E808}">
      <text>
        <r>
          <rPr>
            <sz val="8"/>
            <color indexed="81"/>
            <rFont val="Tahoma"/>
            <family val="2"/>
          </rPr>
          <t>FY28E: 89.0%
Services share growing from 3.6% → 4.2%; displaces product share by ~0.5pp per year.</t>
        </r>
      </text>
    </comment>
    <comment ref="K21" authorId="0" shapeId="0" xr:uid="{9C280B0E-F5DC-4135-A20F-36C7B394478F}">
      <text>
        <r>
          <rPr>
            <sz val="9"/>
            <color indexed="81"/>
            <rFont val="Tahoma"/>
            <family val="2"/>
          </rPr>
          <t>FY29E: 88.5%
Products remain 88-89% of revenue through FY29. Share stabilises as Services plateaus at 5% of mix.</t>
        </r>
      </text>
    </comment>
    <comment ref="I22" authorId="0" shapeId="0" xr:uid="{E31E6264-0A1C-4CC6-9871-96DA2E147C51}">
      <text>
        <r>
          <rPr>
            <sz val="8"/>
            <color indexed="81"/>
            <rFont val="Tahoma"/>
            <family val="2"/>
          </rPr>
          <t>FY27E: 3.6%
Services 3-year CAGR has been &gt;100% (₹30Cr → ₹159Cr). Slowing to ~30-35% p.a. growth.
From FY27 to FY 30 additional growth 0.6% in revenue from services.
Represents maintenance contracts, technical services, aftermarket support tied to growing installed base.
Key watch: If services margin &gt; product margin, mix shift is value-accretive.</t>
        </r>
      </text>
    </comment>
    <comment ref="I23" authorId="0" shapeId="0" xr:uid="{263A2F07-B01C-4E3C-963D-284F8FC710F5}">
      <text>
        <r>
          <rPr>
            <sz val="8"/>
            <color indexed="81"/>
            <rFont val="Tahoma"/>
            <family val="2"/>
          </rPr>
          <t>Scrap sales, tooling recovery, export incentives. Modest structural decline as a % as core revenue grows faster. Sensitive to steel scrap prices.</t>
        </r>
      </text>
    </comment>
    <comment ref="I29" authorId="0" shapeId="0" xr:uid="{EC359097-2273-4933-865E-39187E97E28B}">
      <text>
        <r>
          <rPr>
            <b/>
            <sz val="9"/>
            <color indexed="81"/>
            <rFont val="Tahoma"/>
            <family val="2"/>
          </rPr>
          <t xml:space="preserve">FY27E: ₹10 Cr
</t>
        </r>
        <r>
          <rPr>
            <sz val="9"/>
            <color indexed="81"/>
            <rFont val="Tahoma"/>
            <family val="2"/>
          </rPr>
          <t xml:space="preserve">WIP is mean-reverting – not a % of revenue driver.
Small positive build as new capacity lines ramp up production.
Historical range: -₹54Cr to +₹51Cr. Normalised to ₹10-16Cr for steady-state capacity additions.
</t>
        </r>
      </text>
    </comment>
    <comment ref="I33" authorId="0" shapeId="0" xr:uid="{41844BCF-DE74-4EB8-BC1E-5BAAEA9D60F1}">
      <text>
        <r>
          <rPr>
            <b/>
            <sz val="9"/>
            <color indexed="81"/>
            <rFont val="Tahoma"/>
            <family val="2"/>
          </rPr>
          <t>Abhishek:</t>
        </r>
        <r>
          <rPr>
            <sz val="9"/>
            <color indexed="81"/>
            <rFont val="Tahoma"/>
            <family val="2"/>
          </rPr>
          <t xml:space="preserve">
HRC steel is 70-75% of total RM. Significant improvement FY23 – FY26 as post-Ukraine commodity spike normalised. 
Modest further improvement as (a) premiumisation raises ASPs, (b) procurement scale benefits. Floor 67-68% unless steel spikes again. Key risk: HRC re-rating.</t>
        </r>
      </text>
    </comment>
    <comment ref="I34" authorId="0" shapeId="0" xr:uid="{9CDF4C4B-B74A-4689-B1F4-63818C21AB40}">
      <text>
        <r>
          <rPr>
            <sz val="9"/>
            <color indexed="81"/>
            <rFont val="Tahoma"/>
            <family val="2"/>
          </rPr>
          <t xml:space="preserve">Semi-fixed cost. Headcount grows with capacity; Indian labour regulations (Industrial Disputes Act) limit flexibility. 
Wage inflation 8-10% p.a. absorbed by revenue growth keeping ratio stable at 10.8-11.0%.
</t>
        </r>
      </text>
    </comment>
    <comment ref="I35" authorId="0" shapeId="0" xr:uid="{8FB3A97A-C857-4D06-9392-D27C8E453859}">
      <text>
        <r>
          <rPr>
            <sz val="9"/>
            <color indexed="81"/>
            <rFont val="Tahoma"/>
            <family val="2"/>
          </rPr>
          <t xml:space="preserve">FY27E: 12.8%
FY26 spike to 13.3% = likely commissioning costs on new production lines + power tariff hikes.
Excludes one-time items: normalised run-rate from 12-13%.
Key sub-items: Power &amp; fuel (3-4%), Freight (2-3%), Repairs (1.5%), Subcontracting (2%).
Risk: India electricity tariff revision (state regulatory commissions) = 20-30bps impact.
</t>
        </r>
      </text>
    </comment>
    <comment ref="I37" authorId="0" shapeId="0" xr:uid="{85374B90-C04A-44EC-A5B6-22B512948714}">
      <text>
        <r>
          <rPr>
            <sz val="9"/>
            <color indexed="81"/>
            <rFont val="Tahoma"/>
            <family val="2"/>
          </rPr>
          <t xml:space="preserve">FY27E: 25.5%
India base corporate tax: 25.17% </t>
        </r>
      </text>
    </comment>
    <comment ref="C46" authorId="0" shapeId="0" xr:uid="{16284A28-1DE6-4639-98B0-E8E1AB12C042}">
      <text>
        <r>
          <rPr>
            <b/>
            <sz val="9"/>
            <color indexed="81"/>
            <rFont val="Tahoma"/>
            <family val="2"/>
          </rPr>
          <t xml:space="preserve">Formula:
</t>
        </r>
        <r>
          <rPr>
            <sz val="9"/>
            <color indexed="81"/>
            <rFont val="Tahoma"/>
            <family val="2"/>
          </rPr>
          <t>Receivables = DSO × Revenue / 365</t>
        </r>
      </text>
    </comment>
    <comment ref="I46" authorId="0" shapeId="0" xr:uid="{BFBBCDBB-F779-4B93-8B1A-B456DB525811}">
      <text>
        <r>
          <rPr>
            <b/>
            <sz val="9"/>
            <color indexed="81"/>
            <rFont val="Tahoma"/>
            <family val="2"/>
          </rPr>
          <t xml:space="preserve">DSO trend: 65→53→62→55. 
</t>
        </r>
        <r>
          <rPr>
            <sz val="9"/>
            <color indexed="81"/>
            <rFont val="Tahoma"/>
            <family val="2"/>
          </rPr>
          <t>FY24 spike was timing; underlying trend improving. 
B2B OEM customers (M&amp;M, Tata, Ashok Leyland) have 45-60d terms. Project will gradually compress to 52d-50d as collections tighten.</t>
        </r>
      </text>
    </comment>
    <comment ref="C47" authorId="0" shapeId="0" xr:uid="{D25471D4-CA2A-4F0B-AFA5-305EA3669BD2}">
      <text>
        <r>
          <rPr>
            <b/>
            <sz val="9"/>
            <color indexed="81"/>
            <rFont val="Tahoma"/>
            <family val="2"/>
          </rPr>
          <t xml:space="preserve">Formula:
</t>
        </r>
        <r>
          <rPr>
            <sz val="9"/>
            <color indexed="81"/>
            <rFont val="Tahoma"/>
            <family val="2"/>
          </rPr>
          <t>Inventory = DIO × COGS / 365</t>
        </r>
      </text>
    </comment>
    <comment ref="I47" authorId="0" shapeId="0" xr:uid="{16C2D964-AEEC-40E8-A1F9-69F426615BE9}">
      <text>
        <r>
          <rPr>
            <b/>
            <sz val="9"/>
            <color indexed="81"/>
            <rFont val="Tahoma"/>
            <family val="2"/>
          </rPr>
          <t xml:space="preserve">DIO trend: 70→68→64→54
</t>
        </r>
        <r>
          <rPr>
            <sz val="9"/>
            <color indexed="81"/>
            <rFont val="Tahoma"/>
            <family val="2"/>
          </rPr>
          <t xml:space="preserve">
It’s a significant improvement due to lean manufacturing &amp; JIT supply chain. 
Project stabilisation at 60-52d (floor for steel-based manufacturing without VMI with OEMs).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C48" authorId="0" shapeId="0" xr:uid="{9B28E68B-588D-4359-B79F-4A4BD47DC8A7}">
      <text>
        <r>
          <rPr>
            <b/>
            <sz val="9"/>
            <color indexed="81"/>
            <rFont val="Tahoma"/>
            <family val="2"/>
          </rPr>
          <t xml:space="preserve">Formula: 
</t>
        </r>
        <r>
          <rPr>
            <sz val="9"/>
            <color indexed="81"/>
            <rFont val="Tahoma"/>
            <family val="2"/>
          </rPr>
          <t>Payables = DPO × COGS / 365</t>
        </r>
      </text>
    </comment>
    <comment ref="I48" authorId="0" shapeId="0" xr:uid="{E0D92E87-6A7A-48E5-8B92-038025570617}">
      <text>
        <r>
          <rPr>
            <b/>
            <sz val="9"/>
            <color indexed="81"/>
            <rFont val="Tahoma"/>
            <family val="2"/>
          </rPr>
          <t xml:space="preserve">DPO range: 93-101d 
</t>
        </r>
        <r>
          <rPr>
            <sz val="9"/>
            <color indexed="81"/>
            <rFont val="Tahoma"/>
            <family val="2"/>
          </rPr>
          <t>It's consistent with Indian auto-component sector norms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Wheels India is a significant buyer from steel mills (JSW, Tata Steel). 90-100d terms standard in Indian manufacturing. </t>
        </r>
        <r>
          <rPr>
            <b/>
            <sz val="9"/>
            <color indexed="81"/>
            <rFont val="Tahoma"/>
            <family val="2"/>
          </rPr>
          <t xml:space="preserve">Projecting stable at 97d 
</t>
        </r>
      </text>
    </comment>
    <comment ref="H49" authorId="0" shapeId="0" xr:uid="{98E47558-68C7-4B5C-875D-0B2AC5C284CA}">
      <text>
        <r>
          <rPr>
            <sz val="9"/>
            <color indexed="81"/>
            <rFont val="Tahoma"/>
            <family val="2"/>
          </rPr>
          <t xml:space="preserve">Spiked FY26 (₹236Cr, 4.3% rev) 
is due to GST credit buildup on capex.
It will be </t>
        </r>
        <r>
          <rPr>
            <b/>
            <sz val="9"/>
            <color indexed="81"/>
            <rFont val="Tahoma"/>
            <family val="2"/>
          </rPr>
          <t>Normalising</t>
        </r>
        <r>
          <rPr>
            <sz val="9"/>
            <color indexed="81"/>
            <rFont val="Tahoma"/>
            <family val="2"/>
          </rPr>
          <t xml:space="preserve"> as capex moderates</t>
        </r>
      </text>
    </comment>
    <comment ref="I54" authorId="1" shapeId="0" xr:uid="{210E0242-6A12-4098-B376-99E034EA737E}">
      <text>
        <r>
          <rPr>
            <sz val="10"/>
            <rFont val="Arial"/>
            <family val="2"/>
          </rPr>
          <t>FY27E Capex: ₹300Cr
Mgmt guided ₹280Cr (Srivats Ram, MD, FY26 concall).
+₹20Cr buffer for cost overruns (historical: actual always &gt;guided).
FY23: guided ₹151Cr, actual ₹177Cr calculated.
FY26: guided ₹280Cr, CF shows ₹277Cr.
Key project: EV wheel manufacturing line, larger rim capacity (22.5").</t>
        </r>
      </text>
    </comment>
    <comment ref="J54" authorId="0" shapeId="0" xr:uid="{40241E2C-E34E-4CAE-972E-D420DA26C3A8}">
      <text>
        <r>
          <rPr>
            <sz val="9"/>
            <color indexed="81"/>
            <rFont val="Tahoma"/>
            <family val="2"/>
          </rPr>
          <t>Growth capex ₹130Cr.
Growth capex moderating as Phase 1 expansion complete.
130 - 105 - 55Cr investment over next time period</t>
        </r>
      </text>
    </comment>
    <comment ref="I56" authorId="0" shapeId="0" xr:uid="{C418C4B2-83AB-4BB6-9326-AE593CA28EA8}">
      <text>
        <r>
          <rPr>
            <sz val="9"/>
            <color indexed="81"/>
            <rFont val="Tahoma"/>
            <family val="2"/>
          </rPr>
          <t>Disposal of Assets have very less over the period.
Range: 1.6 to 2.4 
So taking average assuming the company will follow its historical trend</t>
        </r>
      </text>
    </comment>
    <comment ref="I58" authorId="0" shapeId="0" xr:uid="{338D7B63-4691-4A89-8347-095C13C6073C}">
      <text>
        <r>
          <rPr>
            <sz val="9"/>
            <color indexed="81"/>
            <rFont val="Tahoma"/>
            <family val="2"/>
          </rPr>
          <t xml:space="preserve">Capital advances, security deposits, etc.
FY24-26 elevated due to </t>
        </r>
        <r>
          <rPr>
            <b/>
            <sz val="9"/>
            <color indexed="81"/>
            <rFont val="Tahoma"/>
            <family val="2"/>
          </rPr>
          <t>capital advances on pending capex</t>
        </r>
        <r>
          <rPr>
            <sz val="9"/>
            <color indexed="81"/>
            <rFont val="Tahoma"/>
            <family val="2"/>
          </rPr>
          <t>. 
I believe this will normalise to 0.8-0.9% as capex moderates.</t>
        </r>
      </text>
    </comment>
    <comment ref="E63" authorId="0" shapeId="0" xr:uid="{D89C3D90-89D9-4543-8452-6E9235C6E788}">
      <text>
        <r>
          <rPr>
            <b/>
            <sz val="9"/>
            <color indexed="81"/>
            <rFont val="Tahoma"/>
            <family val="2"/>
          </rPr>
          <t>Post tax Kd</t>
        </r>
      </text>
    </comment>
    <comment ref="C64" authorId="0" shapeId="0" xr:uid="{4EB8F195-AA02-4FAA-8214-EA359669AF00}">
      <text>
        <r>
          <rPr>
            <sz val="9"/>
            <color indexed="81"/>
            <rFont val="Tahoma"/>
            <family val="2"/>
          </rPr>
          <t xml:space="preserve">LT borrowings = 60% of total financial debt (term loans, NCDs). 
I think it will complement to </t>
        </r>
        <r>
          <rPr>
            <b/>
            <sz val="9"/>
            <color indexed="81"/>
            <rFont val="Tahoma"/>
            <family val="2"/>
          </rPr>
          <t>ST borrowings</t>
        </r>
        <r>
          <rPr>
            <sz val="9"/>
            <color indexed="81"/>
            <rFont val="Tahoma"/>
            <family val="2"/>
          </rPr>
          <t>.</t>
        </r>
      </text>
    </comment>
    <comment ref="I77" authorId="0" shapeId="0" xr:uid="{5569BD67-FA7B-4B20-9074-7F8019133BF7}">
      <text>
        <r>
          <rPr>
            <sz val="9"/>
            <color indexed="81"/>
            <rFont val="Tahoma"/>
            <family val="2"/>
          </rPr>
          <t xml:space="preserve">Historical from CF Statement (lease repayments). FY26: ₹18.73Cr. 
New leases in FY26 increase annual outflow. 
Projecting ₹19Cr stable – no new large leases assumed. Combined principal + interest. 
</t>
        </r>
        <r>
          <rPr>
            <b/>
            <sz val="9"/>
            <color indexed="81"/>
            <rFont val="Tahoma"/>
            <family val="2"/>
          </rPr>
          <t xml:space="preserve">Source: </t>
        </r>
        <r>
          <rPr>
            <sz val="9"/>
            <color indexed="81"/>
            <rFont val="Tahoma"/>
            <family val="2"/>
          </rPr>
          <t>Cash Flow from Financing Activities.</t>
        </r>
      </text>
    </comment>
    <comment ref="I78" authorId="0" shapeId="0" xr:uid="{DFC6E52A-4BA6-4B3C-B96B-53290D856828}">
      <text>
        <r>
          <rPr>
            <b/>
            <sz val="9"/>
            <color indexed="81"/>
            <rFont val="Tahoma"/>
            <family val="2"/>
          </rPr>
          <t>Approximate 7%</t>
        </r>
        <r>
          <rPr>
            <sz val="9"/>
            <color indexed="81"/>
            <rFont val="Tahoma"/>
            <family val="2"/>
          </rPr>
          <t xml:space="preserve">
RBI repo 6.5% + 50bps credit spread</t>
        </r>
      </text>
    </comment>
    <comment ref="I81" authorId="0" shapeId="0" xr:uid="{5715FE43-D374-47AD-96BF-1752B997B4C2}">
      <text>
        <r>
          <rPr>
            <sz val="9"/>
            <color indexed="81"/>
            <rFont val="Tahoma"/>
            <family val="2"/>
          </rPr>
          <t>ST provisions + other current liabilities. Combined 5% (approx) of revenue historically (FY23-26: 4.7-4.9%). 
Includes accrued expenses, advance from customers, statutory liabilities.</t>
        </r>
      </text>
    </comment>
    <comment ref="I82" authorId="0" shapeId="0" xr:uid="{30D5EAFE-CF19-435D-8984-754532CB7F63}">
      <text>
        <r>
          <rPr>
            <sz val="9"/>
            <color indexed="81"/>
            <rFont val="Tahoma"/>
            <family val="2"/>
          </rPr>
          <t>Gratuity &amp; leave encashment DBO (Ind AS 19). 
Deffered tax liabilities.
Consistent growth (increase) of 0.2%.</t>
        </r>
      </text>
    </comment>
    <comment ref="I83" authorId="0" shapeId="0" xr:uid="{0B420688-FCCC-4775-B70F-D8BFDD9FD15B}">
      <text>
        <r>
          <rPr>
            <sz val="9"/>
            <color indexed="81"/>
            <rFont val="Tahoma"/>
            <family val="2"/>
          </rPr>
          <t>Historical payout erratic (50% to 20%). Normalising at 20% and consistent with TVS Group dividend policy and growth reinvestment needs. 
Absolute dividend grows with PAT. No new equity issuance assumed (share capital flat at ₹24.43Cr).</t>
        </r>
      </text>
    </comment>
    <comment ref="D90" authorId="0" shapeId="0" xr:uid="{92A368BD-5F56-47F6-AA55-821C48F8F184}">
      <text>
        <r>
          <rPr>
            <sz val="9"/>
            <color indexed="81"/>
            <rFont val="Tahoma"/>
            <family val="2"/>
          </rPr>
          <t xml:space="preserve">The risk-free rate of </t>
        </r>
        <r>
          <rPr>
            <b/>
            <sz val="9"/>
            <color indexed="81"/>
            <rFont val="Tahoma"/>
            <family val="2"/>
          </rPr>
          <t xml:space="preserve">7.12% </t>
        </r>
        <r>
          <rPr>
            <sz val="9"/>
            <color indexed="81"/>
            <rFont val="Tahoma"/>
            <family val="2"/>
          </rPr>
          <t>is sourced from the yield on the 10-Year Government of India Security (G-Sec) as of May 31, 2026. 
The 10-year G-Sec is used because: 
(a) it is default-risk free, 
(b) its duration matches the long-term horizon of the DCF model, and 
(c) it reflects the opportunity cost of capital in the Indian economy.</t>
        </r>
      </text>
    </comment>
    <comment ref="D92" authorId="0" shapeId="0" xr:uid="{8D5BD59D-6F0C-4789-9CAB-249B6360F8FD}">
      <text>
        <r>
          <rPr>
            <sz val="9"/>
            <color indexed="81"/>
            <rFont val="Tahoma"/>
            <family val="2"/>
          </rPr>
          <t xml:space="preserve">Computed as </t>
        </r>
        <r>
          <rPr>
            <b/>
            <sz val="9"/>
            <color indexed="81"/>
            <rFont val="Tahoma"/>
            <family val="2"/>
          </rPr>
          <t xml:space="preserve">Risk-Free Rate (7.12%) </t>
        </r>
        <r>
          <rPr>
            <sz val="9"/>
            <color indexed="81"/>
            <rFont val="Tahoma"/>
            <family val="2"/>
          </rPr>
          <t xml:space="preserve">+ Damodaran India </t>
        </r>
        <r>
          <rPr>
            <b/>
            <sz val="9"/>
            <color indexed="81"/>
            <rFont val="Tahoma"/>
            <family val="2"/>
          </rPr>
          <t>ERP (7.08%, Jan 2026)</t>
        </r>
        <r>
          <rPr>
            <sz val="9"/>
            <color indexed="81"/>
            <rFont val="Tahoma"/>
            <family val="2"/>
          </rPr>
          <t xml:space="preserve">
Reflects expected return on Indian equity market.</t>
        </r>
      </text>
    </comment>
    <comment ref="D93" authorId="0" shapeId="0" xr:uid="{517093A3-DB1D-4D34-B817-2840AFC3979E}">
      <text>
        <r>
          <rPr>
            <sz val="9"/>
            <color indexed="81"/>
            <rFont val="Tahoma"/>
            <family val="2"/>
          </rPr>
          <t>Implied cost of debt derived as Interest Expense (₹120 Cr) ÷ Average Total Financial Debt ((₹732 Cr + ₹711 Cr) ÷ 2 = ₹721.5 Cr) = 16.6%. 
Includes both short-term working capital facilities and long-term borrowings. Post-tax Kd = 16.6% × (1 – 25.2%) = 12.4%</t>
        </r>
      </text>
    </comment>
    <comment ref="D95" authorId="0" shapeId="0" xr:uid="{EC348DB8-A4E3-4C85-866B-D57E863A6EEE}">
      <text>
        <r>
          <rPr>
            <b/>
            <sz val="9"/>
            <color indexed="81"/>
            <rFont val="Tahoma"/>
            <family val="2"/>
          </rPr>
          <t>Taken 5.0%</t>
        </r>
        <r>
          <rPr>
            <sz val="9"/>
            <color indexed="81"/>
            <rFont val="Tahoma"/>
            <family val="2"/>
          </rPr>
          <t>, well below India's estimated long-run nominal GDP growth of 10% (approx) = (IMF real GDP forecast of 6.5% + RBI inflation target of 4%). 
For a mature auto-components manufacturer, terminal growth is assumed to converge toward mid-cycle industry growth, not peak rates. A rate above nominal GDP would imply Wheels India grows larger than the economy in perpetuity, which is economically invalid.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4" authorId="0" shapeId="0" xr:uid="{7BEB5831-A6D3-49BB-BDBE-0484AB9AA2EC}">
      <text>
        <r>
          <rPr>
            <sz val="10"/>
            <rFont val="Arial"/>
            <family val="2"/>
          </rPr>
          <t>Muted OEM capex, rate headwinds</t>
        </r>
      </text>
    </comment>
    <comment ref="F4" authorId="0" shapeId="0" xr:uid="{16C2EC20-B0E5-4550-9DE0-DB9478AE0929}">
      <text>
        <r>
          <rPr>
            <sz val="10"/>
            <rFont val="Arial"/>
            <family val="2"/>
          </rPr>
          <t>Gradual recovery as rates ease</t>
        </r>
      </text>
    </comment>
    <comment ref="G4" authorId="0" shapeId="0" xr:uid="{63BA7DB8-B1BD-4FE9-9B81-CD37023AEFBF}">
      <text>
        <r>
          <rPr>
            <sz val="10"/>
            <rFont val="Arial"/>
            <family val="2"/>
          </rPr>
          <t>Stable low-growth equilibrium</t>
        </r>
      </text>
    </comment>
    <comment ref="H4" authorId="0" shapeId="0" xr:uid="{F0F8CAAC-62BC-445D-B1AC-47C965A3B499}">
      <text>
        <r>
          <rPr>
            <sz val="10"/>
            <rFont val="Arial"/>
            <family val="2"/>
          </rPr>
          <t>Demand stabilises</t>
        </r>
      </text>
    </comment>
    <comment ref="I4" authorId="0" shapeId="0" xr:uid="{9BA74526-9879-40C3-AB41-D7A570A34E32}">
      <text>
        <r>
          <rPr>
            <sz val="10"/>
            <rFont val="Arial"/>
            <family val="2"/>
          </rPr>
          <t>Demand stabilises</t>
        </r>
      </text>
    </comment>
    <comment ref="K4" authorId="0" shapeId="0" xr:uid="{9C630D50-03BD-473F-8482-153313746448}">
      <text>
        <r>
          <rPr>
            <sz val="10"/>
            <rFont val="Arial"/>
            <family val="2"/>
          </rPr>
          <t>Strong CV + EV ramp begins</t>
        </r>
      </text>
    </comment>
    <comment ref="L4" authorId="0" shapeId="0" xr:uid="{E7403DA3-C5B3-4DB2-AC5F-4092BB7CE706}">
      <text>
        <r>
          <rPr>
            <sz val="10"/>
            <rFont val="Arial"/>
            <family val="2"/>
          </rPr>
          <t>Volume leverage + export uptick</t>
        </r>
      </text>
    </comment>
    <comment ref="M4" authorId="0" shapeId="0" xr:uid="{205354DF-79E7-487D-9FFB-3037BAEF3C48}">
      <text>
        <r>
          <rPr>
            <sz val="10"/>
            <rFont val="Arial"/>
            <family val="2"/>
          </rPr>
          <t>Capacity utilisation peaks</t>
        </r>
      </text>
    </comment>
    <comment ref="N4" authorId="0" shapeId="0" xr:uid="{351C3E2C-1A02-4607-A1FD-497EE830B0B4}">
      <text>
        <r>
          <rPr>
            <sz val="10"/>
            <rFont val="Arial"/>
            <family val="2"/>
          </rPr>
          <t>Broad-based segment growth</t>
        </r>
      </text>
    </comment>
    <comment ref="O4" authorId="0" shapeId="0" xr:uid="{6D55FAA3-F30B-4D46-8D4C-D0E837090435}">
      <text>
        <r>
          <rPr>
            <sz val="10"/>
            <rFont val="Arial"/>
            <family val="2"/>
          </rPr>
          <t>EV + export contribution matures</t>
        </r>
      </text>
    </comment>
    <comment ref="Q4" authorId="0" shapeId="0" xr:uid="{E08CF7B7-809B-4187-9616-607A0FBD3FB1}">
      <text>
        <r>
          <rPr>
            <sz val="10"/>
            <rFont val="Arial"/>
            <family val="2"/>
          </rPr>
          <t>EV platform wins accelerate</t>
        </r>
      </text>
    </comment>
    <comment ref="R4" authorId="0" shapeId="0" xr:uid="{EB12DACB-1F00-4F07-AEAA-B8CEDCE0D286}">
      <text>
        <r>
          <rPr>
            <sz val="10"/>
            <rFont val="Arial"/>
            <family val="2"/>
          </rPr>
          <t>Export share gains kick in</t>
        </r>
      </text>
    </comment>
    <comment ref="S4" authorId="0" shapeId="0" xr:uid="{5C37B2B2-B386-4AC8-96D6-06CB40D03A4E}">
      <text>
        <r>
          <rPr>
            <sz val="10"/>
            <rFont val="Arial"/>
            <family val="2"/>
          </rPr>
          <t>ASEAN/Europe expansion</t>
        </r>
      </text>
    </comment>
    <comment ref="T4" authorId="0" shapeId="0" xr:uid="{90CEDFCE-F947-48DF-A3B1-89D9C00F49BE}">
      <text>
        <r>
          <rPr>
            <sz val="10"/>
            <rFont val="Arial"/>
            <family val="2"/>
          </rPr>
          <t>Multi-segment outperformance</t>
        </r>
      </text>
    </comment>
    <comment ref="U4" authorId="0" shapeId="0" xr:uid="{423874B3-678B-4B10-A39E-7EA6FC3762B5}">
      <text>
        <r>
          <rPr>
            <sz val="10"/>
            <rFont val="Arial"/>
            <family val="2"/>
          </rPr>
          <t>Sustained above-sector growth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Abhishek</author>
  </authors>
  <commentList>
    <comment ref="C4" authorId="0" shapeId="0" xr:uid="{7E3C5691-7F93-4BD7-AA6D-592AA0E60626}">
      <text>
        <r>
          <rPr>
            <b/>
            <sz val="9"/>
            <color indexed="81"/>
            <rFont val="Tahoma"/>
            <family val="2"/>
          </rPr>
          <t>Company Annual Report:</t>
        </r>
        <r>
          <rPr>
            <sz val="9"/>
            <color indexed="81"/>
            <rFont val="Tahoma"/>
            <family val="2"/>
          </rPr>
          <t xml:space="preserve">
Depreciation on Property, Plant and Equipment has been provided under the </t>
        </r>
        <r>
          <rPr>
            <b/>
            <sz val="9"/>
            <color indexed="81"/>
            <rFont val="Tahoma"/>
            <family val="2"/>
          </rPr>
          <t xml:space="preserve">Straight Line Method </t>
        </r>
        <r>
          <rPr>
            <sz val="9"/>
            <color indexed="81"/>
            <rFont val="Tahoma"/>
            <family val="2"/>
          </rPr>
          <t xml:space="preserve">in 
accordance with Schedule II of the Companies Act 2013 except for certain Plant and Equipments.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Abhishek</author>
  </authors>
  <commentList>
    <comment ref="I24" authorId="0" shapeId="0" xr:uid="{D6996D6F-8BF5-4228-8299-25180C3905A6}">
      <text>
        <r>
          <rPr>
            <sz val="9"/>
            <color indexed="81"/>
            <rFont val="Tahoma"/>
            <family val="2"/>
          </rPr>
          <t xml:space="preserve">FY27E: ₹20 Cr
</t>
        </r>
        <r>
          <rPr>
            <b/>
            <sz val="9"/>
            <color indexed="81"/>
            <rFont val="Tahoma"/>
            <family val="2"/>
          </rPr>
          <t xml:space="preserve">Sources: 
</t>
        </r>
        <r>
          <rPr>
            <sz val="9"/>
            <color indexed="81"/>
            <rFont val="Tahoma"/>
            <family val="2"/>
          </rPr>
          <t>(1) Dividend from investments (₹78Cr investment book at 3-4% yield = ₹2-3Cr), 
(2) Interest on FDs/deposits (₹5-8Cr), 
(3) Misc income. 
Conservative – excludes asset disposal gains (lumpy, non-recurring).
Investment book growing with surplus cash means slight upward trajectory.</t>
        </r>
      </text>
    </comment>
    <comment ref="J24" authorId="0" shapeId="0" xr:uid="{D752067C-F8A7-40B9-9040-1FD78471C4F9}">
      <text>
        <r>
          <rPr>
            <b/>
            <sz val="9"/>
            <color indexed="81"/>
            <rFont val="Tahoma"/>
            <family val="2"/>
          </rPr>
          <t xml:space="preserve">FY28E: ₹22 Cr
</t>
        </r>
        <r>
          <rPr>
            <sz val="9"/>
            <color indexed="81"/>
            <rFont val="Tahoma"/>
            <family val="2"/>
          </rPr>
          <t xml:space="preserve">Investment portfolio likely ₹100-120Cr by FY28 as cash generation improves. Yield 3.5-4%.
Other income growth capped – WIL is not a financial services company.
</t>
        </r>
      </text>
    </comment>
    <comment ref="K24" authorId="0" shapeId="0" xr:uid="{CE2989D6-A429-49B1-BF99-9F51ABA0F033}">
      <text>
        <r>
          <rPr>
            <b/>
            <sz val="9"/>
            <color indexed="81"/>
            <rFont val="Tahoma"/>
            <family val="2"/>
          </rPr>
          <t>FY29E: ₹24 Cr</t>
        </r>
        <r>
          <rPr>
            <sz val="9"/>
            <color indexed="81"/>
            <rFont val="Tahoma"/>
            <family val="2"/>
          </rPr>
          <t xml:space="preserve">
Run-rate ₹24Cr = 3.5% yield on ₹700Cr cumulative investment base (if debt repayment slows and surplus deployed in short-duration instruments).
</t>
        </r>
        <r>
          <rPr>
            <b/>
            <i/>
            <sz val="9"/>
            <color indexed="81"/>
            <rFont val="Tahoma"/>
            <family val="2"/>
          </rPr>
          <t>Further following the same trend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Abhishek</author>
  </authors>
  <commentList>
    <comment ref="H16" authorId="0" shapeId="0" xr:uid="{2247ECA8-75F1-4B94-9CB8-86ACC2530A5C}">
      <text>
        <r>
          <rPr>
            <b/>
            <sz val="9"/>
            <color indexed="81"/>
            <rFont val="Tahoma"/>
            <family val="2"/>
          </rPr>
          <t>FY26 jump to ₹48.88Cr</t>
        </r>
        <r>
          <rPr>
            <sz val="9"/>
            <color indexed="81"/>
            <rFont val="Tahoma"/>
            <family val="2"/>
          </rPr>
          <t xml:space="preserve"> subsidiary investments (US/Europe per Moneycontrol note) and </t>
        </r>
        <r>
          <rPr>
            <b/>
            <sz val="9"/>
            <color indexed="81"/>
            <rFont val="Tahoma"/>
            <family val="2"/>
          </rPr>
          <t>30 Cr</t>
        </r>
        <r>
          <rPr>
            <sz val="9"/>
            <color indexed="81"/>
            <rFont val="Tahoma"/>
            <family val="2"/>
          </rPr>
          <t xml:space="preserve"> from other investments.
TVS Group expanding WIL's international footprint. 
Project ₹10-15Cr annual incremental investments in subsidiaries/JVs. 
Source: Moneycontrol BS note 6.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Abhishek</author>
  </authors>
  <commentList>
    <comment ref="I25" authorId="0" shapeId="0" xr:uid="{28EAC739-0DC1-4173-8F9D-DFDCC46B8D72}">
      <text>
        <r>
          <rPr>
            <b/>
            <sz val="9"/>
            <color indexed="81"/>
            <rFont val="Tahoma"/>
            <family val="2"/>
          </rPr>
          <t xml:space="preserve">FY26 jump to ₹48.88Cr subsidiary investments (US/Europe per Moneycontrol note) and 30 Cr from other investments.
</t>
        </r>
        <r>
          <rPr>
            <sz val="9"/>
            <color indexed="81"/>
            <rFont val="Tahoma"/>
            <family val="2"/>
          </rPr>
          <t xml:space="preserve">
TVS Group expanding WIL's international footprint. 
Project ₹10-15Cr annual incremental investments in subsidiaries/JVs. 
Source: Moneycontrol BS note 6.</t>
        </r>
      </text>
    </comment>
    <comment ref="J25" authorId="0" shapeId="0" xr:uid="{FE034DEE-2ED7-44C6-8447-05553E53584E}">
      <text>
        <r>
          <rPr>
            <b/>
            <sz val="9"/>
            <color indexed="81"/>
            <rFont val="Tahoma"/>
            <family val="2"/>
          </rPr>
          <t xml:space="preserve">FY26 jump to ₹48.88Cr subsidiary investments (US/Europe per Moneycontrol note) and 30 Cr from other investments.
</t>
        </r>
        <r>
          <rPr>
            <sz val="9"/>
            <color indexed="81"/>
            <rFont val="Tahoma"/>
            <family val="2"/>
          </rPr>
          <t xml:space="preserve">
TVS Group expanding WIL's international footprint. 
Project ₹10-15Cr annual incremental investments in subsidiaries/JVs. 
Source: Moneycontrol BS note 6.</t>
        </r>
      </text>
    </comment>
    <comment ref="K25" authorId="0" shapeId="0" xr:uid="{4F937D12-60EE-457B-99F3-E3D9225C7194}">
      <text>
        <r>
          <rPr>
            <b/>
            <sz val="9"/>
            <color indexed="81"/>
            <rFont val="Tahoma"/>
            <family val="2"/>
          </rPr>
          <t xml:space="preserve">FY26 jump to ₹48.88Cr subsidiary investments (US/Europe per Moneycontrol note) and 30 Cr from other investments.
</t>
        </r>
        <r>
          <rPr>
            <sz val="9"/>
            <color indexed="81"/>
            <rFont val="Tahoma"/>
            <family val="2"/>
          </rPr>
          <t xml:space="preserve">
TVS Group expanding WIL's international footprint. 
Project ₹10-15Cr annual incremental investments in subsidiaries/JVs. 
Source: Moneycontrol BS note 6.</t>
        </r>
      </text>
    </comment>
    <comment ref="L25" authorId="0" shapeId="0" xr:uid="{13F57DF9-7438-4E8F-AC60-E6788220372B}">
      <text>
        <r>
          <rPr>
            <b/>
            <sz val="9"/>
            <color indexed="81"/>
            <rFont val="Tahoma"/>
            <family val="2"/>
          </rPr>
          <t xml:space="preserve">FY26 jump to ₹48.88Cr subsidiary investments (US/Europe per Moneycontrol note) and 30 Cr from other investments.
</t>
        </r>
        <r>
          <rPr>
            <sz val="9"/>
            <color indexed="81"/>
            <rFont val="Tahoma"/>
            <family val="2"/>
          </rPr>
          <t xml:space="preserve">
TVS Group expanding WIL's international footprint. 
Project ₹10-15Cr annual incremental investments in subsidiaries/JVs. 
Source: Moneycontrol BS note 6.</t>
        </r>
      </text>
    </comment>
    <comment ref="M25" authorId="0" shapeId="0" xr:uid="{9271D945-6790-4D2A-995C-27B13B20FA4A}">
      <text>
        <r>
          <rPr>
            <b/>
            <sz val="9"/>
            <color indexed="81"/>
            <rFont val="Tahoma"/>
            <family val="2"/>
          </rPr>
          <t xml:space="preserve">FY26 jump to ₹48.88Cr subsidiary investments (US/Europe per Moneycontrol note) and 30 Cr from other investments.
</t>
        </r>
        <r>
          <rPr>
            <sz val="9"/>
            <color indexed="81"/>
            <rFont val="Tahoma"/>
            <family val="2"/>
          </rPr>
          <t xml:space="preserve">
TVS Group expanding WIL's international footprint. 
Project ₹10-15Cr annual incremental investments in subsidiaries/JVs. 
Source: Moneycontrol BS note 6.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Abhishek</author>
  </authors>
  <commentList>
    <comment ref="D41" authorId="0" shapeId="0" xr:uid="{D34F9051-6FD6-4C0B-B7B5-38E002FCC4D8}">
      <text>
        <r>
          <rPr>
            <b/>
            <sz val="9"/>
            <color indexed="81"/>
            <rFont val="Tahoma"/>
            <family val="2"/>
          </rPr>
          <t xml:space="preserve">Source: </t>
        </r>
        <r>
          <rPr>
            <sz val="9"/>
            <color indexed="81"/>
            <rFont val="Tahoma"/>
            <family val="2"/>
          </rPr>
          <t xml:space="preserve">MarketsMojo, 2026
For both multiples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Abhishek</author>
  </authors>
  <commentList>
    <comment ref="B12" authorId="0" shapeId="0" xr:uid="{7915D048-7BC6-4036-AD4B-DBDF6A310F3A}">
      <text>
        <r>
          <rPr>
            <sz val="9"/>
            <color indexed="81"/>
            <rFont val="Tahoma"/>
            <family val="2"/>
          </rPr>
          <t>Formula: (EBITDA – Tax Paid) / (Principal repayment + Interest Paid)</t>
        </r>
      </text>
    </comment>
  </commentList>
</comments>
</file>

<file path=xl/sharedStrings.xml><?xml version="1.0" encoding="utf-8"?>
<sst xmlns="http://schemas.openxmlformats.org/spreadsheetml/2006/main" count="539" uniqueCount="375">
  <si>
    <t>Sale of Products</t>
  </si>
  <si>
    <t>Sale of Services</t>
  </si>
  <si>
    <t>Other operating revenues</t>
  </si>
  <si>
    <t>Revenue from Operations</t>
  </si>
  <si>
    <t>Other income</t>
  </si>
  <si>
    <t>Employee benefit expense</t>
  </si>
  <si>
    <t>Other Expenses</t>
  </si>
  <si>
    <t>Goodwill</t>
  </si>
  <si>
    <t>Other Intangible Assets</t>
  </si>
  <si>
    <t>Operating Costs</t>
  </si>
  <si>
    <t>Raw Material Cost</t>
  </si>
  <si>
    <t>Total Operating Costs</t>
  </si>
  <si>
    <t>EBITDA</t>
  </si>
  <si>
    <t>Depreciation</t>
  </si>
  <si>
    <t>EBIT</t>
  </si>
  <si>
    <t>Interest expense</t>
  </si>
  <si>
    <t>PBT</t>
  </si>
  <si>
    <t>Taxes</t>
  </si>
  <si>
    <t>PAT</t>
  </si>
  <si>
    <t>Total Revenue from Operations</t>
  </si>
  <si>
    <t>Work‑in‑progress (WIP)</t>
  </si>
  <si>
    <t>Sources of Funds</t>
  </si>
  <si>
    <t>Liabilities</t>
  </si>
  <si>
    <t>Non Current Liabilities</t>
  </si>
  <si>
    <t>Total Non Current Liabilities</t>
  </si>
  <si>
    <t>Uses of Funds</t>
  </si>
  <si>
    <t>Assets</t>
  </si>
  <si>
    <t>Current Assets</t>
  </si>
  <si>
    <t>Inventory</t>
  </si>
  <si>
    <t>Total Current Assets</t>
  </si>
  <si>
    <t>Non Current Assets</t>
  </si>
  <si>
    <t>Total Assets</t>
  </si>
  <si>
    <t>Balance Check</t>
  </si>
  <si>
    <t>(Unless Otherwise specified, all financials are in ₹ Cr)</t>
  </si>
  <si>
    <t>Short term borrowings</t>
  </si>
  <si>
    <t>Lease Liabilities</t>
  </si>
  <si>
    <t>Increase/(Decrease) in Working Capital Borrowings</t>
  </si>
  <si>
    <t>Repayment of Lease Liabilities</t>
  </si>
  <si>
    <t>Cashflow from Operating Activities</t>
  </si>
  <si>
    <t>Add: Depreciation</t>
  </si>
  <si>
    <t>Net Change in Working Capital</t>
  </si>
  <si>
    <t>Less: Increase in Inventory</t>
  </si>
  <si>
    <t>Cashflow from Investment Activities</t>
  </si>
  <si>
    <t>Cashflow from Financing Activities</t>
  </si>
  <si>
    <t>Net Cashflow</t>
  </si>
  <si>
    <t>Cash Balance</t>
  </si>
  <si>
    <t>Opening Balance</t>
  </si>
  <si>
    <t>Closing Balance</t>
  </si>
  <si>
    <t>Add: Increase in Trade payable</t>
  </si>
  <si>
    <t>Less: Increase in Trade Receivables</t>
  </si>
  <si>
    <t>Q1 FY26</t>
  </si>
  <si>
    <t>Q2 FY26</t>
  </si>
  <si>
    <t>Q3 FY26</t>
  </si>
  <si>
    <t>Q4 FY26</t>
  </si>
  <si>
    <t>EBITDA Margin</t>
  </si>
  <si>
    <t>%</t>
  </si>
  <si>
    <t xml:space="preserve"> </t>
  </si>
  <si>
    <t>Revenue Growth</t>
  </si>
  <si>
    <t>Units</t>
  </si>
  <si>
    <t>Horizontal Analysis (YoY % change)</t>
  </si>
  <si>
    <t>Vertical Analysis (% of total revenue)</t>
  </si>
  <si>
    <t>Raw Material Cost + WIP</t>
  </si>
  <si>
    <t>PAT Margin</t>
  </si>
  <si>
    <t>Creeping up</t>
  </si>
  <si>
    <t>Improving ✓</t>
  </si>
  <si>
    <t>Stable/declining</t>
  </si>
  <si>
    <t>Rising with capex</t>
  </si>
  <si>
    <t>Jumped FY26</t>
  </si>
  <si>
    <t>Revenue Assumptions</t>
  </si>
  <si>
    <t>Macro / Industry Volume Growth (%)</t>
  </si>
  <si>
    <t>Price / Premiumization Growth (%)</t>
  </si>
  <si>
    <t>Total Revenue Growth (%)</t>
  </si>
  <si>
    <t>A.</t>
  </si>
  <si>
    <t>x</t>
  </si>
  <si>
    <t>Product Revenue (% of Total Revenue)</t>
  </si>
  <si>
    <t>Services Revenue (% of Total Revenue)</t>
  </si>
  <si>
    <t>Other Operating Revenue (% of Total Revenue)</t>
  </si>
  <si>
    <t>B.</t>
  </si>
  <si>
    <t>Expenses Assumptions</t>
  </si>
  <si>
    <t>Raw Material Cost (% of Revenue)</t>
  </si>
  <si>
    <t>Employee Benefit Expense (% of Revenue)</t>
  </si>
  <si>
    <t>Other Expenses (% of Revenue)</t>
  </si>
  <si>
    <t>Effective Tax Rate (%)</t>
  </si>
  <si>
    <t>C.</t>
  </si>
  <si>
    <t>BALANCE SHEET ASSUMPTIONS</t>
  </si>
  <si>
    <t>INCOME STATEMENT ASSUMPTIONS</t>
  </si>
  <si>
    <t>WORKING CAPITAL ASSUMPTIONS (Days-Based)</t>
  </si>
  <si>
    <t>Receivable Days (DSO)</t>
  </si>
  <si>
    <t>Inventory Days (DIO)</t>
  </si>
  <si>
    <t>Payable Days (DPO)</t>
  </si>
  <si>
    <t>Other Current Assets (% of Revenue)</t>
  </si>
  <si>
    <t># days</t>
  </si>
  <si>
    <t>COGS</t>
  </si>
  <si>
    <t>Depreciation Method</t>
  </si>
  <si>
    <t>SLM</t>
  </si>
  <si>
    <t>Asset Life</t>
  </si>
  <si>
    <t>Years</t>
  </si>
  <si>
    <t>Disposal of Assets</t>
  </si>
  <si>
    <t>Capex</t>
  </si>
  <si>
    <t>Depreciation Schedule</t>
  </si>
  <si>
    <t>Total Depreciation</t>
  </si>
  <si>
    <t>Gross Block</t>
  </si>
  <si>
    <t>Add: Capex</t>
  </si>
  <si>
    <t>Less: Assets Sold/ Disposed</t>
  </si>
  <si>
    <t>Accumulated Depreciation</t>
  </si>
  <si>
    <t>Add: Depreciation during current year</t>
  </si>
  <si>
    <t>D.</t>
  </si>
  <si>
    <t>Asset Schedule Assumptions</t>
  </si>
  <si>
    <t>Asset Life (SLM Method)</t>
  </si>
  <si>
    <t>Capex (before depreciation Adjustment)</t>
  </si>
  <si>
    <t>EBIT Margin</t>
  </si>
  <si>
    <t>₹ Cr</t>
  </si>
  <si>
    <t>Other Non Current Assets (% of Revenue)</t>
  </si>
  <si>
    <t>Long term borrowings</t>
  </si>
  <si>
    <t>E.</t>
  </si>
  <si>
    <t>Add: New Issued</t>
  </si>
  <si>
    <t>Less: Repayments</t>
  </si>
  <si>
    <t>Average Loan Outstanding</t>
  </si>
  <si>
    <t>Interest Rate</t>
  </si>
  <si>
    <t>Interest Expense</t>
  </si>
  <si>
    <t>Total Interest Expense</t>
  </si>
  <si>
    <t>New Debt Issues</t>
  </si>
  <si>
    <t>Long term Debt</t>
  </si>
  <si>
    <t>Short term debt</t>
  </si>
  <si>
    <t>Repayments</t>
  </si>
  <si>
    <t>Short term loans Repayment</t>
  </si>
  <si>
    <t>Long term loans Repayment</t>
  </si>
  <si>
    <t>Financial Assumptions</t>
  </si>
  <si>
    <t>Long term debt % of Capex</t>
  </si>
  <si>
    <t>Repayment % of Long term borrowings</t>
  </si>
  <si>
    <t>Annual Lease Payment</t>
  </si>
  <si>
    <t>Lease Interest rate</t>
  </si>
  <si>
    <t>Other current liabilities (% of Revenue)</t>
  </si>
  <si>
    <t>Dividend Payout Ratio (%)</t>
  </si>
  <si>
    <t>Cash &amp; Cash-Equivalents</t>
  </si>
  <si>
    <t>Short-Term Securities</t>
  </si>
  <si>
    <t>Accounts Receivable</t>
  </si>
  <si>
    <t>Other Current Assets</t>
  </si>
  <si>
    <t>Long-Term Securities</t>
  </si>
  <si>
    <t>Property, Plant &amp; Equipment</t>
  </si>
  <si>
    <t>Deffered Tax Assets</t>
  </si>
  <si>
    <t>Other Assets</t>
  </si>
  <si>
    <t>Short-term Debt</t>
  </si>
  <si>
    <t>Accounts Payable</t>
  </si>
  <si>
    <t>Other Current Liabilities</t>
  </si>
  <si>
    <t>Total Current Liabilities</t>
  </si>
  <si>
    <t>Long-term lease liabilities</t>
  </si>
  <si>
    <t>Long-term debt</t>
  </si>
  <si>
    <t>Other long-term liabilities</t>
  </si>
  <si>
    <t>Common Stock</t>
  </si>
  <si>
    <t>Retained Earnings (incl. Treasury Stock)</t>
  </si>
  <si>
    <t>Total Shareholder's Equity</t>
  </si>
  <si>
    <t>Total Liabilities &amp; Shareholder's Equity</t>
  </si>
  <si>
    <t>Cash Flow from Operations</t>
  </si>
  <si>
    <t>Purchase of Securities</t>
  </si>
  <si>
    <t>Proceeds from Maturities &amp; Sales</t>
  </si>
  <si>
    <t>Purchase of Long-Term Investments</t>
  </si>
  <si>
    <t>Capital Expenditure</t>
  </si>
  <si>
    <t>Other</t>
  </si>
  <si>
    <t>Beginning Year Cash</t>
  </si>
  <si>
    <t>Increase/Decrease in Cash</t>
  </si>
  <si>
    <t>Cash &amp; Cash Equivalents</t>
  </si>
  <si>
    <t>SUPPLEMENTAL DATA:</t>
  </si>
  <si>
    <t>Cash flow before debt paydown</t>
  </si>
  <si>
    <t>Dividend Issued</t>
  </si>
  <si>
    <t>Proceeds/(Repayment) Long-Term Debt</t>
  </si>
  <si>
    <t>Interest Expenses &amp; Loss on PPE</t>
  </si>
  <si>
    <t>Total Non Current Assets</t>
  </si>
  <si>
    <t>Current Liabilities</t>
  </si>
  <si>
    <t>Shareholders' Equity</t>
  </si>
  <si>
    <t>Deferred tax adjustments</t>
  </si>
  <si>
    <t>Less: Other Current Assets</t>
  </si>
  <si>
    <t>Less: Other Non current Assets</t>
  </si>
  <si>
    <t>Add: Other operating adjustments</t>
  </si>
  <si>
    <t>Other long-term liabilities (% of Revenue)</t>
  </si>
  <si>
    <t>Solvency Ratios</t>
  </si>
  <si>
    <t>Total Debt</t>
  </si>
  <si>
    <t>Particulars</t>
  </si>
  <si>
    <t>Net Debt / EBITDA</t>
  </si>
  <si>
    <t>Interest Coverage Ratio</t>
  </si>
  <si>
    <t>Operating Metrics</t>
  </si>
  <si>
    <t>Sales Volume Sold (Unit)</t>
  </si>
  <si>
    <t>thousands</t>
  </si>
  <si>
    <t>&lt;&lt;Aprox)</t>
  </si>
  <si>
    <t>EBITDA per unit</t>
  </si>
  <si>
    <t>₹/unit</t>
  </si>
  <si>
    <t xml:space="preserve">Growth </t>
  </si>
  <si>
    <t xml:space="preserve">HR Coil (Hot Rolled Steel) Steel price </t>
  </si>
  <si>
    <t>₹/MT</t>
  </si>
  <si>
    <t>&lt;&lt; Major cost</t>
  </si>
  <si>
    <t>Volume HR Coil Steel used</t>
  </si>
  <si>
    <t>MT</t>
  </si>
  <si>
    <t>Power &amp; Fuel / Electricity cost</t>
  </si>
  <si>
    <t>D/E Ratio</t>
  </si>
  <si>
    <t>.</t>
  </si>
  <si>
    <t>DSCR</t>
  </si>
  <si>
    <t>Liquidity Ratios</t>
  </si>
  <si>
    <t>Current Ratio</t>
  </si>
  <si>
    <t>Quick Ratio</t>
  </si>
  <si>
    <t>Cash Ratio</t>
  </si>
  <si>
    <t>Operating Cash Ratio</t>
  </si>
  <si>
    <t>Status</t>
  </si>
  <si>
    <t>●</t>
  </si>
  <si>
    <t>Profitability Ratios</t>
  </si>
  <si>
    <t>Return on Assets</t>
  </si>
  <si>
    <t>Return on Cap Employed</t>
  </si>
  <si>
    <t>Return on Invested Cap</t>
  </si>
  <si>
    <t>NOPAT</t>
  </si>
  <si>
    <t>Invested Capital</t>
  </si>
  <si>
    <t>Efficiency Ratios</t>
  </si>
  <si>
    <t>Asset Turnover</t>
  </si>
  <si>
    <t>Capital Intensity</t>
  </si>
  <si>
    <t>Fixed Asset Turnover</t>
  </si>
  <si>
    <t>Inventory Turnover</t>
  </si>
  <si>
    <t>DuPont Analysis</t>
  </si>
  <si>
    <t>Net Margin</t>
  </si>
  <si>
    <t>Financial Leverage</t>
  </si>
  <si>
    <t>ROE</t>
  </si>
  <si>
    <t>CFO/EBITDA</t>
  </si>
  <si>
    <t>CFO/PAT</t>
  </si>
  <si>
    <t>FCF Margin</t>
  </si>
  <si>
    <t>Capex/Revenue</t>
  </si>
  <si>
    <t>Capex/Dep</t>
  </si>
  <si>
    <t>Cash Flow Quality Ratios</t>
  </si>
  <si>
    <t>Valuation Ratios</t>
  </si>
  <si>
    <t>EV/EBITDA</t>
  </si>
  <si>
    <t>EV/Revenue</t>
  </si>
  <si>
    <t>P/E</t>
  </si>
  <si>
    <t>P/B</t>
  </si>
  <si>
    <t>Altman Z-Score (Distress Indicator)</t>
  </si>
  <si>
    <t>X1</t>
  </si>
  <si>
    <t>X2</t>
  </si>
  <si>
    <t>X3</t>
  </si>
  <si>
    <t>X4</t>
  </si>
  <si>
    <t>X5</t>
  </si>
  <si>
    <t>Working Capital / Total Assets</t>
  </si>
  <si>
    <t>Retained Earnings / Total Assets</t>
  </si>
  <si>
    <t>EBIT / Total Assets</t>
  </si>
  <si>
    <t>Market Value Equity / Book Value Total Liabilities</t>
  </si>
  <si>
    <t>Revenue / Total Assets</t>
  </si>
  <si>
    <t>Market Value Equity</t>
  </si>
  <si>
    <t>Z Score</t>
  </si>
  <si>
    <t>Safe Zone</t>
  </si>
  <si>
    <t>DCF Valuation using FCFF</t>
  </si>
  <si>
    <t>Tax Rate (%)</t>
  </si>
  <si>
    <t>EBIT*(1-t)</t>
  </si>
  <si>
    <t>Less: Increase in Working Capital</t>
  </si>
  <si>
    <t>Less: Capex and increase in WIP</t>
  </si>
  <si>
    <t>Free Cashflow to the Firm (FCFF)</t>
  </si>
  <si>
    <t>Valuation Assumptions</t>
  </si>
  <si>
    <t>Risk free rate</t>
  </si>
  <si>
    <t>Beta</t>
  </si>
  <si>
    <t>Expected return from market</t>
  </si>
  <si>
    <t>Cost of debt</t>
  </si>
  <si>
    <t>Target debt: capital ratio</t>
  </si>
  <si>
    <t>Terminal Growth Rate</t>
  </si>
  <si>
    <t>WACC</t>
  </si>
  <si>
    <t>Comp Beta Analysis</t>
  </si>
  <si>
    <t>Regression Beta Calculation - 3 Years Daily</t>
  </si>
  <si>
    <t>Beta Calculation</t>
  </si>
  <si>
    <t>Nifty</t>
  </si>
  <si>
    <t>Date</t>
  </si>
  <si>
    <t>Closing Price</t>
  </si>
  <si>
    <t>Daily Return</t>
  </si>
  <si>
    <t>Levered Raw Beta</t>
  </si>
  <si>
    <t>Debt</t>
  </si>
  <si>
    <t>Unlevered Beta</t>
  </si>
  <si>
    <t>Total debt (D)</t>
  </si>
  <si>
    <t>Total Equity (E)</t>
  </si>
  <si>
    <t>D/E ratio</t>
  </si>
  <si>
    <t>D/(D+E)</t>
  </si>
  <si>
    <t>E/(D+E)</t>
  </si>
  <si>
    <t>Levered Beta</t>
  </si>
  <si>
    <t>Releavered Beta</t>
  </si>
  <si>
    <t>Bottom-up</t>
  </si>
  <si>
    <t>Industry Average:</t>
  </si>
  <si>
    <t>Steel Strips Wheels (SSWL)</t>
  </si>
  <si>
    <t>Suprajit Engineering</t>
  </si>
  <si>
    <t>Minda Industries (UNO Minda)</t>
  </si>
  <si>
    <t>Current Equity</t>
  </si>
  <si>
    <t>Tax Rate</t>
  </si>
  <si>
    <t>Market Capitalisation</t>
  </si>
  <si>
    <t>&lt;--- Column input cell</t>
  </si>
  <si>
    <t>&lt;--- Row input cell</t>
  </si>
  <si>
    <t>Terminal Value</t>
  </si>
  <si>
    <t>No. of Years</t>
  </si>
  <si>
    <t>Discount Factor</t>
  </si>
  <si>
    <t>Present Value of FCFF</t>
  </si>
  <si>
    <t>Present Value of Terminal Value</t>
  </si>
  <si>
    <t>Enterprise Value</t>
  </si>
  <si>
    <t>Less: Total Debt</t>
  </si>
  <si>
    <t>Add: Total Cash</t>
  </si>
  <si>
    <t>Less: Any Contingent Liabilities</t>
  </si>
  <si>
    <t xml:space="preserve">Equity Value </t>
  </si>
  <si>
    <t>No. of Shares</t>
  </si>
  <si>
    <t>Share Price (INR)</t>
  </si>
  <si>
    <t>Existing Block Depreciation</t>
  </si>
  <si>
    <t>New Capex Depreciation</t>
  </si>
  <si>
    <t>Add: Value of Non-Operating Investments (LT Securities)</t>
  </si>
  <si>
    <t>Less: Lease Liabilities</t>
  </si>
  <si>
    <t>Market Beta Weight</t>
  </si>
  <si>
    <t>Relevered Beta Weight</t>
  </si>
  <si>
    <t>Beta Adjusted</t>
  </si>
  <si>
    <t xml:space="preserve"> &lt;---Post Tax Kd</t>
  </si>
  <si>
    <t xml:space="preserve">Interest </t>
  </si>
  <si>
    <t>Total Payment</t>
  </si>
  <si>
    <t>Principal Paid</t>
  </si>
  <si>
    <t>Sensitivity Analysis</t>
  </si>
  <si>
    <t>Share Price</t>
  </si>
  <si>
    <t>Terminal Growth Value</t>
  </si>
  <si>
    <t>DATA TABLE</t>
  </si>
  <si>
    <t>What if analysis</t>
  </si>
  <si>
    <t>Share price and terminal growth rate are positively correlated</t>
  </si>
  <si>
    <t>Share price and WACC are negative correlated</t>
  </si>
  <si>
    <t>Using Exit Multiple Method</t>
  </si>
  <si>
    <t>Exit Multiple</t>
  </si>
  <si>
    <t>Present Value of Terminal Value (Exit Multiple)</t>
  </si>
  <si>
    <t>Exit Multiple:</t>
  </si>
  <si>
    <t>Wheel India Ltd</t>
  </si>
  <si>
    <t>Average</t>
  </si>
  <si>
    <t>Share price and Exit Multiple are Positively correlated</t>
  </si>
  <si>
    <t>Weighted Blended Target</t>
  </si>
  <si>
    <t>Method</t>
  </si>
  <si>
    <t>Value</t>
  </si>
  <si>
    <t>Weight</t>
  </si>
  <si>
    <t>Contribution</t>
  </si>
  <si>
    <t>GGM</t>
  </si>
  <si>
    <t>Blended Target</t>
  </si>
  <si>
    <t>Share Price (Exit Multiple)</t>
  </si>
  <si>
    <t>&lt;---Current Multiple</t>
  </si>
  <si>
    <t>Company:</t>
  </si>
  <si>
    <t>Wheel India Limited</t>
  </si>
  <si>
    <t>Date of Valuation</t>
  </si>
  <si>
    <t>Sector:</t>
  </si>
  <si>
    <t>Current Share price</t>
  </si>
  <si>
    <t>Auto Components</t>
  </si>
  <si>
    <t>INR</t>
  </si>
  <si>
    <t>INDEX</t>
  </si>
  <si>
    <t>Assumptions</t>
  </si>
  <si>
    <t>Assets Schedule</t>
  </si>
  <si>
    <t>Debt Schedule</t>
  </si>
  <si>
    <t>Income Statement</t>
  </si>
  <si>
    <t>Balance Sheet</t>
  </si>
  <si>
    <t>Cash Flow Statement</t>
  </si>
  <si>
    <t>Ratios</t>
  </si>
  <si>
    <t>Valuation</t>
  </si>
  <si>
    <t>BEAR SCENARIO</t>
  </si>
  <si>
    <t>Base Scenario</t>
  </si>
  <si>
    <t>BULL SCENARIO</t>
  </si>
  <si>
    <t>Revenue Growth YoY (%)</t>
  </si>
  <si>
    <t>Revenue (Rs Cr)</t>
  </si>
  <si>
    <t>Revenue</t>
  </si>
  <si>
    <t>EBITDA%</t>
  </si>
  <si>
    <t>ΔWorking Capital</t>
  </si>
  <si>
    <t>FCFF</t>
  </si>
  <si>
    <t>Metric</t>
  </si>
  <si>
    <t>Terminal Growth Rate (TGR)</t>
  </si>
  <si>
    <t>EV/EBITDA Exit Multiple</t>
  </si>
  <si>
    <t>Sum PV FCFF (Rs Cr)</t>
  </si>
  <si>
    <t>Shares Outstanding</t>
  </si>
  <si>
    <t>AVERAGE Price (Rs/share)</t>
  </si>
  <si>
    <t>PV of FCFF</t>
  </si>
  <si>
    <t>PV of Terminal Value – GGM</t>
  </si>
  <si>
    <t>Enterprise Value – GGM (Rs Cr)</t>
  </si>
  <si>
    <t>PV of Terminal Value – Exit</t>
  </si>
  <si>
    <t>Enterprise Value – Exit (Rs Cr)</t>
  </si>
  <si>
    <t>Equity Value – GGM (Rs Cr)</t>
  </si>
  <si>
    <t>Equity Value – Exit (Rs Cr)</t>
  </si>
  <si>
    <t>Implied Price – GGM (Rs/share)</t>
  </si>
  <si>
    <t>Implied Price – Exit (Rs/share)</t>
  </si>
  <si>
    <t>Less: Net Debt &amp; other adjustments</t>
  </si>
  <si>
    <t>Valuation Summary</t>
  </si>
  <si>
    <t>Scenario Assumptions</t>
  </si>
  <si>
    <t>Current Share Price</t>
  </si>
  <si>
    <t>&lt;&lt;--- Used Forecast formula to get these numbers based on historical trends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</si>
</sst>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&quot;FY&quot;yy\A"/>
    <numFmt numFmtId="165" formatCode="&quot;FY&quot;yy\E"/>
    <numFmt numFmtId="166" formatCode="&quot;FY&quot;yy\P"/>
    <numFmt numFmtId="167" formatCode="_(* #,##0_);_(* \(#,##0\);_(* &quot;-&quot;??_);_(@_)"/>
    <numFmt numFmtId="168" formatCode="[=0]&quot;OK&quot;;[&lt;&gt;0]&quot;Error&quot;"/>
    <numFmt numFmtId="169" formatCode="&quot;Q1 FY&quot;yy\E"/>
    <numFmt numFmtId="170" formatCode="_ * #,##0.0_ ;_ * \-#,##0.0_ ;_ * &quot;-&quot;??_ ;_ @_ "/>
    <numFmt numFmtId="171" formatCode="_(* #,##0.0%_);_(* \(#,##0.0%\);_(* &quot;-&quot;??_);_(@_)"/>
    <numFmt numFmtId="172" formatCode="_(* \+#,##0.0%_);_(* \-#,##0.0%;_(* &quot;-&quot;??_);_(@_)"/>
    <numFmt numFmtId="173" formatCode="_(* #,##0.0_);_(* \(#,##0.0\);_(* &quot;-&quot;??_);_(@_)"/>
    <numFmt numFmtId="174" formatCode="_(* #,##0%_);_(* \(#,##0%\);_(* &quot;-&quot;??_);_(@_)"/>
    <numFmt numFmtId="175" formatCode="0.0%"/>
    <numFmt numFmtId="176" formatCode="yyyy&quot; A&quot;"/>
    <numFmt numFmtId="177" formatCode="&quot;Year &quot;#,##0;\-&quot;Year &quot;#,##0"/>
    <numFmt numFmtId="178" formatCode="_ \ * #,##0_ ;_ \ * \(#,##0\)_ ;_ \ * &quot;-&quot;??_ ;_ @_ "/>
    <numFmt numFmtId="179" formatCode="0.0"/>
    <numFmt numFmtId="180" formatCode="&quot;FY&quot;yy"/>
    <numFmt numFmtId="181" formatCode="_ \ * #,##0.0\ \x_ ;_ \ * \(#,##0.0\ \x\)_ ;_ \ * &quot;-&quot;??_ ;_ @_ "/>
    <numFmt numFmtId="182" formatCode="_ \ * #,##0.000\ \x_ ;_ \ * \(#,##0.000\ \x\)_ ;_ \ * &quot;-&quot;??_ ;_ @_ "/>
    <numFmt numFmtId="183" formatCode="yyyy&quot; E&quot;"/>
    <numFmt numFmtId="184" formatCode="_ \ * #,##0_ ;_ \ * \(#,##0\)_ ;_ &quot;-&quot;??\ \ * _ ;_ @_ "/>
    <numFmt numFmtId="185" formatCode="_ \ * #,##0.0%_ ;_ \ * \(#,##0.0%\)_ ;_ \ * &quot;-&quot;??_ ;_ @_ "/>
    <numFmt numFmtId="186" formatCode="_ * #,##0.00____\ ;_ * \(#,##0.00\)____\ ;_ * &quot;-&quot;??____\ ;_ @_ "/>
    <numFmt numFmtId="187" formatCode="_ \ * #,##0_ ;_ \ * \(#,##0\)_ ;_ \ * &quot;-&quot;??_ ;_ @__\ "/>
    <numFmt numFmtId="188" formatCode="_ \ * #,##0.00_ ;_ \ * \(#,##0.00\)_ ;_ \ * &quot;-&quot;??_ ;_ @_ "/>
    <numFmt numFmtId="189" formatCode="_-[$₹-820]* #,##0_-;[$₹-820]* \(#,##0\)_-;_-[$₹-820]* &quot;-&quot;_-;_-@_-"/>
    <numFmt numFmtId="190" formatCode="#,##0.000;\-#,##0.000"/>
    <numFmt numFmtId="191" formatCode="_ * #,##0_ ;_ * \-#,##0_ ;_ * &quot;-&quot;??_ ;_ @_ "/>
    <numFmt numFmtId="192" formatCode="_(* #,##0.00000000000_);_(* \(#,##0.00000000000\);_(* &quot;-&quot;??_);_(@_)"/>
    <numFmt numFmtId="193" formatCode="#,##0.0%;\-#,##0.0%;_(* &quot;-&quot;??_);_(@_)"/>
  </numFmts>
  <fonts count="9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i/>
      <sz val="10"/>
      <color theme="1"/>
      <name val="Arial"/>
      <family val="2"/>
    </font>
    <font>
      <b/>
      <sz val="10"/>
      <color rgb="FF0066FF"/>
      <name val="Arial"/>
      <family val="2"/>
    </font>
    <font>
      <sz val="10"/>
      <color indexed="48"/>
      <name val="Arial"/>
      <family val="2"/>
    </font>
    <font>
      <b/>
      <sz val="10"/>
      <color rgb="FF000000"/>
      <name val="Arial"/>
      <family val="2"/>
    </font>
    <font>
      <sz val="10"/>
      <color theme="0" tint="-0.14999847407452621"/>
      <name val="Arial"/>
      <family val="2"/>
    </font>
    <font>
      <b/>
      <sz val="10"/>
      <color indexed="48"/>
      <name val="Arial"/>
      <family val="2"/>
    </font>
    <font>
      <b/>
      <u/>
      <sz val="10"/>
      <color theme="1"/>
      <name val="Arial"/>
      <family val="2"/>
    </font>
    <font>
      <b/>
      <sz val="10"/>
      <name val="Arial"/>
      <family val="2"/>
    </font>
    <font>
      <b/>
      <sz val="10"/>
      <color theme="0" tint="-0.14999847407452621"/>
      <name val="Arial"/>
      <family val="2"/>
    </font>
    <font>
      <b/>
      <i/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indexed="81"/>
      <name val="Arial"/>
      <family val="2"/>
    </font>
    <font>
      <b/>
      <sz val="8"/>
      <color indexed="81"/>
      <name val="Arial"/>
      <family val="2"/>
    </font>
    <font>
      <sz val="10"/>
      <color rgb="FF3366FF"/>
      <name val="Arial"/>
      <family val="2"/>
    </font>
    <font>
      <b/>
      <i/>
      <sz val="9"/>
      <color indexed="81"/>
      <name val="Tahoma"/>
      <family val="2"/>
    </font>
    <font>
      <b/>
      <sz val="10"/>
      <color theme="5" tint="-0.249977111117893"/>
      <name val="Arial"/>
      <family val="2"/>
    </font>
    <font>
      <sz val="10"/>
      <color theme="5" tint="-0.249977111117893"/>
      <name val="Arial"/>
      <family val="2"/>
    </font>
    <font>
      <b/>
      <sz val="10"/>
      <color rgb="FF3366FF"/>
      <name val="Arial"/>
      <family val="2"/>
    </font>
    <font>
      <sz val="10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2"/>
      <color theme="1"/>
      <name val="Calibri"/>
      <family val="2"/>
    </font>
    <font>
      <sz val="12"/>
      <color theme="0" tint="-0.14999847407452621"/>
      <name val="Calibri"/>
      <family val="2"/>
    </font>
    <font>
      <sz val="12"/>
      <color theme="0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0"/>
      <color rgb="FF000000"/>
      <name val="Arial"/>
      <family val="2"/>
    </font>
    <font>
      <sz val="12"/>
      <color theme="1"/>
      <name val="Calibri"/>
      <family val="2"/>
    </font>
    <font>
      <sz val="10"/>
      <color rgb="FF339966"/>
      <name val="Arial"/>
      <family val="2"/>
    </font>
    <font>
      <i/>
      <sz val="10"/>
      <color theme="0" tint="-0.34998626667073579"/>
      <name val="Arial"/>
      <family val="2"/>
    </font>
    <font>
      <sz val="10"/>
      <color rgb="FFCA5A5A"/>
      <name val="Arial"/>
      <family val="2"/>
    </font>
    <font>
      <sz val="10"/>
      <color theme="0" tint="-0.34998626667073579"/>
      <name val="Arial"/>
      <family val="2"/>
    </font>
    <font>
      <u/>
      <sz val="12"/>
      <color theme="10"/>
      <name val="Calibri"/>
      <family val="2"/>
    </font>
    <font>
      <sz val="16"/>
      <color indexed="8"/>
      <name val="Calibri"/>
      <family val="2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rgb="FF0000FA"/>
      <name val="Calibri"/>
      <family val="2"/>
    </font>
    <font>
      <sz val="12"/>
      <color rgb="FF0000FA"/>
      <name val="Calibri"/>
      <family val="2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2E8A5C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66FF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3366FF"/>
      <name val="Calibri"/>
      <family val="2"/>
    </font>
    <font>
      <b/>
      <sz val="10"/>
      <color rgb="FFFF0000"/>
      <name val="Arial"/>
      <family val="2"/>
    </font>
    <font>
      <b/>
      <sz val="10"/>
      <color indexed="9"/>
      <name val="Arial"/>
      <family val="2"/>
    </font>
    <font>
      <b/>
      <sz val="8"/>
      <name val="Arial"/>
      <family val="2"/>
    </font>
    <font>
      <sz val="9"/>
      <color rgb="FF0000FF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A5A5A"/>
        <bgColor indexed="64"/>
      </patternFill>
    </fill>
    <fill>
      <patternFill patternType="solid">
        <fgColor rgb="FF3BA75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BF0FA"/>
      </patternFill>
    </fill>
    <fill>
      <patternFill patternType="solid">
        <fgColor rgb="FFDDEEFF"/>
        <bgColor rgb="FFEBF0FA"/>
      </patternFill>
    </fill>
    <fill>
      <patternFill patternType="solid">
        <fgColor rgb="FFEABCBC"/>
        <bgColor indexed="64"/>
      </patternFill>
    </fill>
    <fill>
      <patternFill patternType="solid">
        <fgColor rgb="FFD1EFD7"/>
        <bgColor indexed="64"/>
      </patternFill>
    </fill>
    <fill>
      <patternFill patternType="solid">
        <fgColor rgb="FFF8E8E8"/>
        <bgColor indexed="64"/>
      </patternFill>
    </fill>
    <fill>
      <patternFill patternType="solid">
        <fgColor rgb="FFE3F5E6"/>
        <bgColor indexed="64"/>
      </patternFill>
    </fill>
    <fill>
      <patternFill patternType="solid">
        <fgColor rgb="FFFFFF99"/>
        <bgColor rgb="FFFCE4D6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 tint="0.34998626667073579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 tint="0.24994659260841701"/>
      </top>
      <bottom style="double">
        <color theme="1" tint="0.24994659260841701"/>
      </bottom>
      <diagonal/>
    </border>
    <border>
      <left style="thin">
        <color theme="1"/>
      </left>
      <right style="thin">
        <color theme="1"/>
      </right>
      <top style="thin">
        <color theme="1" tint="0.2499465926084170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CCCCCC"/>
      </left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52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4" fillId="0" borderId="0"/>
    <xf numFmtId="0" fontId="64" fillId="0" borderId="0">
      <alignment vertical="center"/>
    </xf>
    <xf numFmtId="0" fontId="43" fillId="0" borderId="0"/>
    <xf numFmtId="0" fontId="72" fillId="0" borderId="0"/>
    <xf numFmtId="9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80" fillId="0" borderId="0"/>
  </cellStyleXfs>
  <cellXfs count="404">
    <xf numFmtId="0" fontId="0" fillId="0" borderId="0" xfId="0"/>
    <xf numFmtId="0" fontId="16" fillId="0" borderId="0" xfId="0" applyFont="1"/>
    <xf numFmtId="0" fontId="1" fillId="0" borderId="0" xfId="0" applyFont="1"/>
    <xf numFmtId="0" fontId="18" fillId="0" borderId="0" xfId="0" applyFont="1"/>
    <xf numFmtId="164" fontId="19" fillId="33" borderId="0" xfId="0" applyNumberFormat="1" applyFont="1" applyFill="1"/>
    <xf numFmtId="164" fontId="16" fillId="0" borderId="0" xfId="0" applyNumberFormat="1" applyFont="1"/>
    <xf numFmtId="166" fontId="16" fillId="0" borderId="0" xfId="0" applyNumberFormat="1" applyFont="1"/>
    <xf numFmtId="167" fontId="20" fillId="34" borderId="0" xfId="1" applyNumberFormat="1" applyFont="1" applyFill="1"/>
    <xf numFmtId="167" fontId="20" fillId="34" borderId="10" xfId="1" applyNumberFormat="1" applyFont="1" applyFill="1" applyBorder="1"/>
    <xf numFmtId="0" fontId="16" fillId="0" borderId="11" xfId="0" applyFont="1" applyBorder="1"/>
    <xf numFmtId="0" fontId="1" fillId="0" borderId="11" xfId="0" applyFont="1" applyBorder="1"/>
    <xf numFmtId="167" fontId="1" fillId="0" borderId="0" xfId="0" applyNumberFormat="1" applyFont="1"/>
    <xf numFmtId="0" fontId="1" fillId="0" borderId="12" xfId="0" applyFont="1" applyBorder="1"/>
    <xf numFmtId="0" fontId="21" fillId="0" borderId="0" xfId="0" applyFont="1"/>
    <xf numFmtId="167" fontId="20" fillId="34" borderId="0" xfId="1" applyNumberFormat="1" applyFont="1" applyFill="1" applyBorder="1"/>
    <xf numFmtId="167" fontId="20" fillId="34" borderId="14" xfId="1" applyNumberFormat="1" applyFont="1" applyFill="1" applyBorder="1"/>
    <xf numFmtId="0" fontId="1" fillId="36" borderId="0" xfId="0" applyFont="1" applyFill="1"/>
    <xf numFmtId="0" fontId="0" fillId="36" borderId="0" xfId="0" applyFill="1"/>
    <xf numFmtId="0" fontId="16" fillId="0" borderId="15" xfId="0" applyFont="1" applyBorder="1"/>
    <xf numFmtId="0" fontId="1" fillId="0" borderId="15" xfId="0" applyFont="1" applyBorder="1"/>
    <xf numFmtId="0" fontId="0" fillId="34" borderId="0" xfId="0" applyFill="1"/>
    <xf numFmtId="165" fontId="16" fillId="33" borderId="0" xfId="0" applyNumberFormat="1" applyFont="1" applyFill="1"/>
    <xf numFmtId="0" fontId="0" fillId="0" borderId="17" xfId="0" applyBorder="1"/>
    <xf numFmtId="168" fontId="18" fillId="35" borderId="16" xfId="0" applyNumberFormat="1" applyFont="1" applyFill="1" applyBorder="1" applyAlignment="1">
      <alignment horizontal="center"/>
    </xf>
    <xf numFmtId="0" fontId="24" fillId="0" borderId="0" xfId="0" applyFont="1"/>
    <xf numFmtId="0" fontId="16" fillId="0" borderId="17" xfId="0" applyFont="1" applyBorder="1"/>
    <xf numFmtId="0" fontId="0" fillId="34" borderId="10" xfId="0" applyFill="1" applyBorder="1"/>
    <xf numFmtId="0" fontId="25" fillId="34" borderId="0" xfId="0" applyFont="1" applyFill="1"/>
    <xf numFmtId="0" fontId="0" fillId="34" borderId="0" xfId="0" applyFill="1" applyAlignment="1">
      <alignment horizontal="left" indent="1"/>
    </xf>
    <xf numFmtId="0" fontId="25" fillId="34" borderId="18" xfId="0" applyFont="1" applyFill="1" applyBorder="1"/>
    <xf numFmtId="167" fontId="25" fillId="34" borderId="18" xfId="0" applyNumberFormat="1" applyFont="1" applyFill="1" applyBorder="1"/>
    <xf numFmtId="167" fontId="16" fillId="0" borderId="13" xfId="0" applyNumberFormat="1" applyFont="1" applyBorder="1"/>
    <xf numFmtId="167" fontId="16" fillId="0" borderId="19" xfId="0" applyNumberFormat="1" applyFont="1" applyBorder="1"/>
    <xf numFmtId="167" fontId="16" fillId="0" borderId="17" xfId="0" applyNumberFormat="1" applyFont="1" applyBorder="1"/>
    <xf numFmtId="0" fontId="25" fillId="34" borderId="17" xfId="0" applyFont="1" applyFill="1" applyBorder="1"/>
    <xf numFmtId="0" fontId="0" fillId="0" borderId="0" xfId="0" applyAlignment="1">
      <alignment horizontal="left" indent="1"/>
    </xf>
    <xf numFmtId="0" fontId="25" fillId="34" borderId="17" xfId="0" applyFont="1" applyFill="1" applyBorder="1" applyAlignment="1">
      <alignment horizontal="left" indent="1"/>
    </xf>
    <xf numFmtId="167" fontId="25" fillId="34" borderId="17" xfId="0" applyNumberFormat="1" applyFont="1" applyFill="1" applyBorder="1"/>
    <xf numFmtId="169" fontId="16" fillId="36" borderId="0" xfId="0" applyNumberFormat="1" applyFont="1" applyFill="1" applyAlignment="1">
      <alignment horizontal="right"/>
    </xf>
    <xf numFmtId="167" fontId="20" fillId="36" borderId="0" xfId="1" applyNumberFormat="1" applyFont="1" applyFill="1"/>
    <xf numFmtId="167" fontId="20" fillId="36" borderId="10" xfId="1" applyNumberFormat="1" applyFont="1" applyFill="1" applyBorder="1"/>
    <xf numFmtId="167" fontId="16" fillId="36" borderId="13" xfId="0" applyNumberFormat="1" applyFont="1" applyFill="1" applyBorder="1"/>
    <xf numFmtId="167" fontId="16" fillId="36" borderId="17" xfId="0" applyNumberFormat="1" applyFont="1" applyFill="1" applyBorder="1"/>
    <xf numFmtId="167" fontId="20" fillId="36" borderId="0" xfId="1" applyNumberFormat="1" applyFont="1" applyFill="1" applyBorder="1"/>
    <xf numFmtId="167" fontId="20" fillId="36" borderId="14" xfId="1" applyNumberFormat="1" applyFont="1" applyFill="1" applyBorder="1"/>
    <xf numFmtId="167" fontId="16" fillId="36" borderId="19" xfId="0" applyNumberFormat="1" applyFont="1" applyFill="1" applyBorder="1"/>
    <xf numFmtId="43" fontId="1" fillId="36" borderId="0" xfId="1" applyFont="1" applyFill="1"/>
    <xf numFmtId="170" fontId="0" fillId="0" borderId="0" xfId="1" applyNumberFormat="1" applyFont="1"/>
    <xf numFmtId="0" fontId="26" fillId="0" borderId="0" xfId="0" applyFont="1"/>
    <xf numFmtId="167" fontId="0" fillId="0" borderId="0" xfId="0" applyNumberFormat="1"/>
    <xf numFmtId="167" fontId="16" fillId="0" borderId="0" xfId="0" applyNumberFormat="1" applyFont="1"/>
    <xf numFmtId="167" fontId="16" fillId="36" borderId="0" xfId="0" applyNumberFormat="1" applyFont="1" applyFill="1"/>
    <xf numFmtId="0" fontId="28" fillId="0" borderId="0" xfId="0" applyFont="1" applyAlignment="1">
      <alignment horizontal="right"/>
    </xf>
    <xf numFmtId="0" fontId="29" fillId="0" borderId="0" xfId="0" applyFont="1"/>
    <xf numFmtId="9" fontId="28" fillId="0" borderId="0" xfId="43" applyFont="1"/>
    <xf numFmtId="9" fontId="28" fillId="36" borderId="0" xfId="43" applyFont="1" applyFill="1"/>
    <xf numFmtId="0" fontId="29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right"/>
    </xf>
    <xf numFmtId="171" fontId="0" fillId="0" borderId="0" xfId="43" applyNumberFormat="1" applyFont="1"/>
    <xf numFmtId="172" fontId="18" fillId="0" borderId="0" xfId="43" applyNumberFormat="1" applyFont="1"/>
    <xf numFmtId="172" fontId="27" fillId="0" borderId="0" xfId="43" applyNumberFormat="1" applyFont="1"/>
    <xf numFmtId="172" fontId="18" fillId="35" borderId="0" xfId="43" applyNumberFormat="1" applyFont="1" applyFill="1"/>
    <xf numFmtId="171" fontId="0" fillId="0" borderId="17" xfId="43" applyNumberFormat="1" applyFont="1" applyBorder="1"/>
    <xf numFmtId="0" fontId="16" fillId="0" borderId="0" xfId="0" applyFont="1" applyAlignment="1">
      <alignment horizontal="center"/>
    </xf>
    <xf numFmtId="0" fontId="28" fillId="0" borderId="0" xfId="0" applyFont="1"/>
    <xf numFmtId="171" fontId="36" fillId="0" borderId="0" xfId="43" applyNumberFormat="1" applyFont="1" applyFill="1" applyBorder="1"/>
    <xf numFmtId="0" fontId="36" fillId="0" borderId="0" xfId="0" applyFont="1"/>
    <xf numFmtId="171" fontId="36" fillId="0" borderId="0" xfId="43" applyNumberFormat="1" applyFont="1"/>
    <xf numFmtId="0" fontId="38" fillId="0" borderId="0" xfId="0" applyFont="1" applyAlignment="1">
      <alignment horizontal="left"/>
    </xf>
    <xf numFmtId="0" fontId="39" fillId="0" borderId="0" xfId="0" applyFont="1"/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41" fillId="0" borderId="0" xfId="0" applyFont="1"/>
    <xf numFmtId="171" fontId="16" fillId="0" borderId="0" xfId="43" applyNumberFormat="1" applyFont="1"/>
    <xf numFmtId="171" fontId="40" fillId="0" borderId="0" xfId="43" applyNumberFormat="1" applyFont="1" applyFill="1" applyBorder="1"/>
    <xf numFmtId="167" fontId="36" fillId="0" borderId="0" xfId="0" applyNumberFormat="1" applyFont="1"/>
    <xf numFmtId="167" fontId="0" fillId="34" borderId="0" xfId="1" applyNumberFormat="1" applyFont="1" applyFill="1"/>
    <xf numFmtId="167" fontId="25" fillId="34" borderId="0" xfId="1" applyNumberFormat="1" applyFont="1" applyFill="1"/>
    <xf numFmtId="173" fontId="0" fillId="0" borderId="0" xfId="0" applyNumberFormat="1"/>
    <xf numFmtId="0" fontId="36" fillId="34" borderId="0" xfId="0" applyFont="1" applyFill="1"/>
    <xf numFmtId="0" fontId="44" fillId="0" borderId="10" xfId="0" applyFont="1" applyBorder="1"/>
    <xf numFmtId="0" fontId="0" fillId="0" borderId="10" xfId="0" applyBorder="1"/>
    <xf numFmtId="0" fontId="45" fillId="0" borderId="10" xfId="0" applyFont="1" applyBorder="1"/>
    <xf numFmtId="165" fontId="16" fillId="0" borderId="0" xfId="0" applyNumberFormat="1" applyFont="1"/>
    <xf numFmtId="0" fontId="25" fillId="0" borderId="0" xfId="0" applyFont="1"/>
    <xf numFmtId="167" fontId="0" fillId="0" borderId="0" xfId="1" applyNumberFormat="1" applyFont="1" applyFill="1"/>
    <xf numFmtId="0" fontId="43" fillId="0" borderId="0" xfId="0" applyFont="1"/>
    <xf numFmtId="0" fontId="43" fillId="0" borderId="10" xfId="0" applyFont="1" applyBorder="1"/>
    <xf numFmtId="167" fontId="0" fillId="0" borderId="10" xfId="1" applyNumberFormat="1" applyFont="1" applyFill="1" applyBorder="1"/>
    <xf numFmtId="167" fontId="25" fillId="0" borderId="0" xfId="0" applyNumberFormat="1" applyFont="1"/>
    <xf numFmtId="167" fontId="20" fillId="0" borderId="0" xfId="1" applyNumberFormat="1" applyFont="1" applyFill="1"/>
    <xf numFmtId="167" fontId="25" fillId="0" borderId="0" xfId="1" applyNumberFormat="1" applyFont="1" applyFill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18" fillId="0" borderId="0" xfId="0" applyFont="1" applyAlignment="1">
      <alignment horizontal="left"/>
    </xf>
    <xf numFmtId="164" fontId="16" fillId="0" borderId="10" xfId="0" applyNumberFormat="1" applyFont="1" applyBorder="1"/>
    <xf numFmtId="165" fontId="16" fillId="0" borderId="10" xfId="0" applyNumberFormat="1" applyFont="1" applyBorder="1"/>
    <xf numFmtId="166" fontId="16" fillId="0" borderId="10" xfId="0" applyNumberFormat="1" applyFont="1" applyBorder="1"/>
    <xf numFmtId="167" fontId="16" fillId="0" borderId="0" xfId="1" applyNumberFormat="1" applyFont="1" applyFill="1"/>
    <xf numFmtId="167" fontId="0" fillId="0" borderId="0" xfId="1" applyNumberFormat="1" applyFont="1" applyFill="1" applyBorder="1"/>
    <xf numFmtId="167" fontId="25" fillId="0" borderId="0" xfId="1" applyNumberFormat="1" applyFont="1" applyFill="1" applyBorder="1"/>
    <xf numFmtId="174" fontId="36" fillId="0" borderId="0" xfId="43" applyNumberFormat="1" applyFont="1" applyFill="1" applyBorder="1"/>
    <xf numFmtId="174" fontId="0" fillId="0" borderId="0" xfId="43" applyNumberFormat="1" applyFont="1"/>
    <xf numFmtId="167" fontId="46" fillId="34" borderId="0" xfId="1" applyNumberFormat="1" applyFont="1" applyFill="1"/>
    <xf numFmtId="167" fontId="46" fillId="34" borderId="10" xfId="1" applyNumberFormat="1" applyFont="1" applyFill="1" applyBorder="1"/>
    <xf numFmtId="167" fontId="47" fillId="34" borderId="18" xfId="1" applyNumberFormat="1" applyFont="1" applyFill="1" applyBorder="1"/>
    <xf numFmtId="167" fontId="25" fillId="34" borderId="18" xfId="1" applyNumberFormat="1" applyFont="1" applyFill="1" applyBorder="1"/>
    <xf numFmtId="167" fontId="25" fillId="34" borderId="17" xfId="1" applyNumberFormat="1" applyFont="1" applyFill="1" applyBorder="1"/>
    <xf numFmtId="167" fontId="0" fillId="34" borderId="0" xfId="0" applyNumberFormat="1" applyFill="1"/>
    <xf numFmtId="0" fontId="18" fillId="34" borderId="0" xfId="0" applyFont="1" applyFill="1" applyAlignment="1">
      <alignment horizontal="right"/>
    </xf>
    <xf numFmtId="175" fontId="0" fillId="34" borderId="0" xfId="43" applyNumberFormat="1" applyFont="1" applyFill="1"/>
    <xf numFmtId="9" fontId="0" fillId="0" borderId="0" xfId="43" applyFont="1"/>
    <xf numFmtId="8" fontId="0" fillId="0" borderId="0" xfId="0" applyNumberFormat="1"/>
    <xf numFmtId="174" fontId="36" fillId="0" borderId="0" xfId="43" applyNumberFormat="1" applyFont="1"/>
    <xf numFmtId="175" fontId="0" fillId="0" borderId="0" xfId="43" applyNumberFormat="1" applyFont="1"/>
    <xf numFmtId="178" fontId="0" fillId="0" borderId="0" xfId="0" applyNumberFormat="1"/>
    <xf numFmtId="0" fontId="51" fillId="0" borderId="17" xfId="0" applyFont="1" applyBorder="1" applyAlignment="1">
      <alignment horizontal="left" vertical="top"/>
    </xf>
    <xf numFmtId="167" fontId="16" fillId="0" borderId="17" xfId="0" applyNumberFormat="1" applyFont="1" applyBorder="1" applyAlignment="1">
      <alignment vertical="top"/>
    </xf>
    <xf numFmtId="0" fontId="49" fillId="0" borderId="0" xfId="0" applyFont="1"/>
    <xf numFmtId="176" fontId="50" fillId="0" borderId="0" xfId="0" applyNumberFormat="1" applyFont="1"/>
    <xf numFmtId="0" fontId="51" fillId="0" borderId="0" xfId="0" applyFont="1"/>
    <xf numFmtId="0" fontId="52" fillId="0" borderId="0" xfId="0" applyFont="1"/>
    <xf numFmtId="0" fontId="0" fillId="0" borderId="0" xfId="0" applyAlignment="1">
      <alignment horizontal="left"/>
    </xf>
    <xf numFmtId="167" fontId="20" fillId="0" borderId="0" xfId="1" applyNumberFormat="1" applyFont="1" applyFill="1" applyBorder="1"/>
    <xf numFmtId="0" fontId="54" fillId="0" borderId="0" xfId="0" applyFont="1" applyAlignment="1">
      <alignment horizontal="left" vertical="top"/>
    </xf>
    <xf numFmtId="0" fontId="0" fillId="0" borderId="0" xfId="0" applyAlignment="1">
      <alignment vertical="top"/>
    </xf>
    <xf numFmtId="167" fontId="16" fillId="0" borderId="0" xfId="0" applyNumberFormat="1" applyFont="1" applyAlignment="1">
      <alignment vertical="top"/>
    </xf>
    <xf numFmtId="167" fontId="23" fillId="0" borderId="0" xfId="1" applyNumberFormat="1" applyFont="1" applyFill="1" applyBorder="1"/>
    <xf numFmtId="0" fontId="51" fillId="0" borderId="0" xfId="0" applyFont="1" applyAlignment="1">
      <alignment horizontal="left" vertical="top"/>
    </xf>
    <xf numFmtId="0" fontId="48" fillId="0" borderId="0" xfId="0" applyFont="1" applyAlignment="1">
      <alignment horizontal="left" vertical="top"/>
    </xf>
    <xf numFmtId="179" fontId="18" fillId="0" borderId="0" xfId="0" applyNumberFormat="1" applyFont="1"/>
    <xf numFmtId="0" fontId="16" fillId="0" borderId="17" xfId="0" applyFont="1" applyBorder="1" applyAlignment="1">
      <alignment vertical="top"/>
    </xf>
    <xf numFmtId="178" fontId="36" fillId="0" borderId="0" xfId="0" applyNumberFormat="1" applyFont="1"/>
    <xf numFmtId="0" fontId="53" fillId="0" borderId="0" xfId="0" applyFont="1"/>
    <xf numFmtId="0" fontId="16" fillId="34" borderId="0" xfId="0" applyFont="1" applyFill="1"/>
    <xf numFmtId="178" fontId="16" fillId="0" borderId="0" xfId="0" applyNumberFormat="1" applyFont="1"/>
    <xf numFmtId="0" fontId="22" fillId="0" borderId="0" xfId="0" applyFont="1"/>
    <xf numFmtId="176" fontId="17" fillId="0" borderId="0" xfId="0" applyNumberFormat="1" applyFont="1"/>
    <xf numFmtId="177" fontId="18" fillId="0" borderId="0" xfId="0" applyNumberFormat="1" applyFont="1"/>
    <xf numFmtId="0" fontId="24" fillId="0" borderId="0" xfId="0" applyFont="1" applyAlignment="1">
      <alignment horizontal="left"/>
    </xf>
    <xf numFmtId="178" fontId="55" fillId="0" borderId="0" xfId="0" applyNumberFormat="1" applyFont="1"/>
    <xf numFmtId="0" fontId="25" fillId="34" borderId="0" xfId="0" applyFont="1" applyFill="1" applyAlignment="1">
      <alignment horizontal="left" indent="1"/>
    </xf>
    <xf numFmtId="167" fontId="25" fillId="34" borderId="0" xfId="0" applyNumberFormat="1" applyFont="1" applyFill="1"/>
    <xf numFmtId="178" fontId="16" fillId="0" borderId="17" xfId="0" applyNumberFormat="1" applyFont="1" applyBorder="1"/>
    <xf numFmtId="164" fontId="16" fillId="0" borderId="20" xfId="0" applyNumberFormat="1" applyFont="1" applyBorder="1"/>
    <xf numFmtId="2" fontId="0" fillId="0" borderId="0" xfId="0" applyNumberFormat="1"/>
    <xf numFmtId="179" fontId="0" fillId="0" borderId="0" xfId="0" applyNumberFormat="1"/>
    <xf numFmtId="180" fontId="16" fillId="0" borderId="21" xfId="0" applyNumberFormat="1" applyFont="1" applyBorder="1"/>
    <xf numFmtId="0" fontId="18" fillId="0" borderId="0" xfId="0" applyFont="1" applyAlignment="1">
      <alignment horizontal="left" indent="1"/>
    </xf>
    <xf numFmtId="8" fontId="0" fillId="0" borderId="0" xfId="0" applyNumberFormat="1" applyAlignment="1">
      <alignment horizontal="right"/>
    </xf>
    <xf numFmtId="0" fontId="29" fillId="0" borderId="0" xfId="0" applyFont="1" applyAlignment="1">
      <alignment horizontal="right"/>
    </xf>
    <xf numFmtId="175" fontId="56" fillId="0" borderId="0" xfId="43" applyNumberFormat="1" applyFont="1"/>
    <xf numFmtId="0" fontId="16" fillId="37" borderId="10" xfId="0" applyFont="1" applyFill="1" applyBorder="1"/>
    <xf numFmtId="0" fontId="0" fillId="37" borderId="10" xfId="0" applyFill="1" applyBorder="1"/>
    <xf numFmtId="0" fontId="0" fillId="37" borderId="10" xfId="0" applyFill="1" applyBorder="1" applyAlignment="1">
      <alignment horizontal="right"/>
    </xf>
    <xf numFmtId="164" fontId="16" fillId="37" borderId="10" xfId="0" applyNumberFormat="1" applyFont="1" applyFill="1" applyBorder="1"/>
    <xf numFmtId="165" fontId="16" fillId="37" borderId="10" xfId="0" applyNumberFormat="1" applyFont="1" applyFill="1" applyBorder="1"/>
    <xf numFmtId="0" fontId="0" fillId="37" borderId="0" xfId="0" applyFill="1"/>
    <xf numFmtId="0" fontId="0" fillId="37" borderId="0" xfId="0" applyFill="1" applyAlignment="1">
      <alignment horizontal="right"/>
    </xf>
    <xf numFmtId="166" fontId="16" fillId="38" borderId="0" xfId="0" applyNumberFormat="1" applyFont="1" applyFill="1"/>
    <xf numFmtId="181" fontId="0" fillId="0" borderId="0" xfId="0" applyNumberFormat="1"/>
    <xf numFmtId="182" fontId="16" fillId="0" borderId="0" xfId="0" applyNumberFormat="1" applyFont="1"/>
    <xf numFmtId="0" fontId="57" fillId="0" borderId="0" xfId="0" applyFont="1" applyAlignment="1">
      <alignment horizontal="left" vertical="center" indent="1"/>
    </xf>
    <xf numFmtId="0" fontId="58" fillId="0" borderId="0" xfId="0" applyFont="1" applyAlignment="1">
      <alignment horizontal="left" vertical="center" indent="1"/>
    </xf>
    <xf numFmtId="175" fontId="16" fillId="0" borderId="0" xfId="43" applyNumberFormat="1" applyFont="1"/>
    <xf numFmtId="3" fontId="36" fillId="0" borderId="0" xfId="0" applyNumberFormat="1" applyFont="1"/>
    <xf numFmtId="179" fontId="16" fillId="0" borderId="17" xfId="0" applyNumberFormat="1" applyFont="1" applyBorder="1"/>
    <xf numFmtId="0" fontId="28" fillId="0" borderId="17" xfId="0" applyFont="1" applyBorder="1" applyAlignment="1">
      <alignment horizontal="left" indent="1"/>
    </xf>
    <xf numFmtId="0" fontId="0" fillId="0" borderId="10" xfId="0" applyBorder="1" applyAlignment="1">
      <alignment horizontal="center"/>
    </xf>
    <xf numFmtId="0" fontId="28" fillId="0" borderId="10" xfId="0" applyFont="1" applyBorder="1"/>
    <xf numFmtId="167" fontId="0" fillId="0" borderId="10" xfId="0" applyNumberFormat="1" applyBorder="1"/>
    <xf numFmtId="0" fontId="25" fillId="0" borderId="22" xfId="0" applyFont="1" applyBorder="1"/>
    <xf numFmtId="0" fontId="0" fillId="0" borderId="22" xfId="0" applyBorder="1"/>
    <xf numFmtId="0" fontId="18" fillId="0" borderId="23" xfId="0" applyFont="1" applyBorder="1"/>
    <xf numFmtId="0" fontId="0" fillId="0" borderId="23" xfId="0" applyBorder="1"/>
    <xf numFmtId="164" fontId="16" fillId="0" borderId="23" xfId="0" applyNumberFormat="1" applyFont="1" applyBorder="1"/>
    <xf numFmtId="165" fontId="16" fillId="0" borderId="23" xfId="0" applyNumberFormat="1" applyFont="1" applyBorder="1"/>
    <xf numFmtId="175" fontId="0" fillId="0" borderId="0" xfId="43" applyNumberFormat="1" applyFont="1" applyFill="1"/>
    <xf numFmtId="0" fontId="25" fillId="0" borderId="17" xfId="0" applyFont="1" applyBorder="1"/>
    <xf numFmtId="175" fontId="20" fillId="34" borderId="0" xfId="43" applyNumberFormat="1" applyFont="1" applyFill="1"/>
    <xf numFmtId="175" fontId="20" fillId="34" borderId="10" xfId="43" applyNumberFormat="1" applyFont="1" applyFill="1" applyBorder="1"/>
    <xf numFmtId="0" fontId="60" fillId="0" borderId="0" xfId="44" applyFont="1" applyAlignment="1">
      <alignment horizontal="center"/>
    </xf>
    <xf numFmtId="0" fontId="54" fillId="0" borderId="0" xfId="45"/>
    <xf numFmtId="0" fontId="61" fillId="0" borderId="0" xfId="44" applyFont="1" applyAlignment="1">
      <alignment horizontal="center" vertical="center"/>
    </xf>
    <xf numFmtId="0" fontId="62" fillId="0" borderId="0" xfId="45" applyFont="1" applyAlignment="1">
      <alignment vertical="top"/>
    </xf>
    <xf numFmtId="0" fontId="48" fillId="0" borderId="0" xfId="45" applyFont="1"/>
    <xf numFmtId="0" fontId="54" fillId="39" borderId="27" xfId="45" applyFill="1" applyBorder="1"/>
    <xf numFmtId="0" fontId="48" fillId="39" borderId="0" xfId="45" applyFont="1" applyFill="1"/>
    <xf numFmtId="0" fontId="54" fillId="39" borderId="0" xfId="45" applyFill="1"/>
    <xf numFmtId="177" fontId="48" fillId="39" borderId="0" xfId="45" applyNumberFormat="1" applyFont="1" applyFill="1"/>
    <xf numFmtId="0" fontId="54" fillId="39" borderId="28" xfId="45" applyFill="1" applyBorder="1"/>
    <xf numFmtId="0" fontId="54" fillId="0" borderId="27" xfId="45" applyBorder="1"/>
    <xf numFmtId="0" fontId="54" fillId="0" borderId="28" xfId="45" applyBorder="1"/>
    <xf numFmtId="0" fontId="64" fillId="0" borderId="27" xfId="46" applyBorder="1">
      <alignment vertical="center"/>
    </xf>
    <xf numFmtId="14" fontId="69" fillId="36" borderId="20" xfId="46" applyNumberFormat="1" applyFont="1" applyFill="1" applyBorder="1" applyAlignment="1">
      <alignment horizontal="left"/>
    </xf>
    <xf numFmtId="0" fontId="67" fillId="0" borderId="0" xfId="46" applyFont="1" applyAlignment="1">
      <alignment horizontal="right"/>
    </xf>
    <xf numFmtId="178" fontId="70" fillId="36" borderId="20" xfId="45" applyNumberFormat="1" applyFont="1" applyFill="1" applyBorder="1"/>
    <xf numFmtId="0" fontId="64" fillId="0" borderId="0" xfId="46">
      <alignment vertical="center"/>
    </xf>
    <xf numFmtId="0" fontId="51" fillId="0" borderId="0" xfId="45" applyFont="1" applyAlignment="1">
      <alignment horizontal="right"/>
    </xf>
    <xf numFmtId="185" fontId="71" fillId="0" borderId="0" xfId="47" applyNumberFormat="1" applyFont="1" applyAlignment="1">
      <alignment horizontal="left" vertical="center" indent="1"/>
    </xf>
    <xf numFmtId="184" fontId="54" fillId="0" borderId="0" xfId="45" applyNumberFormat="1" applyAlignment="1">
      <alignment horizontal="left"/>
    </xf>
    <xf numFmtId="186" fontId="54" fillId="0" borderId="0" xfId="48" applyNumberFormat="1" applyFont="1"/>
    <xf numFmtId="0" fontId="74" fillId="0" borderId="27" xfId="46" applyFont="1" applyBorder="1" applyAlignment="1">
      <alignment horizontal="left"/>
    </xf>
    <xf numFmtId="0" fontId="74" fillId="0" borderId="0" xfId="46" applyFont="1" applyAlignment="1">
      <alignment horizontal="left"/>
    </xf>
    <xf numFmtId="0" fontId="74" fillId="0" borderId="0" xfId="46" applyFont="1" applyAlignment="1">
      <alignment horizontal="right"/>
    </xf>
    <xf numFmtId="0" fontId="64" fillId="0" borderId="0" xfId="46" applyAlignment="1">
      <alignment horizontal="right" vertical="center"/>
    </xf>
    <xf numFmtId="0" fontId="75" fillId="0" borderId="0" xfId="45" applyFont="1" applyAlignment="1">
      <alignment horizontal="left" vertical="top"/>
    </xf>
    <xf numFmtId="0" fontId="76" fillId="0" borderId="17" xfId="45" applyFont="1" applyBorder="1" applyAlignment="1">
      <alignment horizontal="left" vertical="top"/>
    </xf>
    <xf numFmtId="0" fontId="76" fillId="0" borderId="17" xfId="45" applyFont="1" applyBorder="1" applyAlignment="1">
      <alignment horizontal="right" vertical="top"/>
    </xf>
    <xf numFmtId="0" fontId="77" fillId="0" borderId="10" xfId="45" applyFont="1" applyBorder="1" applyAlignment="1">
      <alignment horizontal="left" vertical="top"/>
    </xf>
    <xf numFmtId="0" fontId="76" fillId="0" borderId="10" xfId="45" applyFont="1" applyBorder="1" applyAlignment="1">
      <alignment horizontal="right" vertical="top"/>
    </xf>
    <xf numFmtId="177" fontId="48" fillId="0" borderId="10" xfId="45" applyNumberFormat="1" applyFont="1" applyBorder="1"/>
    <xf numFmtId="0" fontId="76" fillId="0" borderId="0" xfId="45" applyFont="1" applyAlignment="1">
      <alignment horizontal="left" vertical="top"/>
    </xf>
    <xf numFmtId="187" fontId="67" fillId="0" borderId="0" xfId="45" applyNumberFormat="1" applyFont="1" applyAlignment="1">
      <alignment horizontal="right"/>
    </xf>
    <xf numFmtId="185" fontId="78" fillId="0" borderId="0" xfId="47" applyNumberFormat="1" applyFont="1" applyAlignment="1">
      <alignment horizontal="right" vertical="center"/>
    </xf>
    <xf numFmtId="188" fontId="75" fillId="0" borderId="0" xfId="45" applyNumberFormat="1" applyFont="1" applyAlignment="1">
      <alignment horizontal="right" vertical="top"/>
    </xf>
    <xf numFmtId="39" fontId="76" fillId="0" borderId="0" xfId="45" applyNumberFormat="1" applyFont="1" applyAlignment="1">
      <alignment horizontal="right" vertical="top"/>
    </xf>
    <xf numFmtId="0" fontId="64" fillId="0" borderId="0" xfId="45" applyFont="1" applyAlignment="1">
      <alignment vertical="center"/>
    </xf>
    <xf numFmtId="189" fontId="67" fillId="0" borderId="0" xfId="45" applyNumberFormat="1" applyFont="1" applyAlignment="1">
      <alignment horizontal="right"/>
    </xf>
    <xf numFmtId="175" fontId="75" fillId="0" borderId="0" xfId="49" applyNumberFormat="1" applyFont="1" applyBorder="1" applyAlignment="1">
      <alignment horizontal="right" vertical="top"/>
    </xf>
    <xf numFmtId="39" fontId="75" fillId="0" borderId="0" xfId="45" applyNumberFormat="1" applyFont="1" applyAlignment="1">
      <alignment horizontal="right" vertical="top"/>
    </xf>
    <xf numFmtId="0" fontId="75" fillId="0" borderId="17" xfId="45" applyFont="1" applyBorder="1" applyAlignment="1">
      <alignment horizontal="left" vertical="top"/>
    </xf>
    <xf numFmtId="175" fontId="76" fillId="0" borderId="17" xfId="45" applyNumberFormat="1" applyFont="1" applyBorder="1" applyAlignment="1">
      <alignment horizontal="right" vertical="top"/>
    </xf>
    <xf numFmtId="43" fontId="76" fillId="0" borderId="17" xfId="50" applyFont="1" applyFill="1" applyBorder="1" applyAlignment="1">
      <alignment horizontal="right" vertical="top"/>
    </xf>
    <xf numFmtId="0" fontId="54" fillId="0" borderId="30" xfId="45" applyBorder="1"/>
    <xf numFmtId="0" fontId="54" fillId="0" borderId="10" xfId="45" applyBorder="1"/>
    <xf numFmtId="0" fontId="54" fillId="0" borderId="31" xfId="45" applyBorder="1"/>
    <xf numFmtId="190" fontId="76" fillId="0" borderId="0" xfId="45" applyNumberFormat="1" applyFont="1" applyAlignment="1">
      <alignment horizontal="right" vertical="top"/>
    </xf>
    <xf numFmtId="0" fontId="49" fillId="0" borderId="27" xfId="45" applyFont="1" applyBorder="1"/>
    <xf numFmtId="0" fontId="49" fillId="0" borderId="30" xfId="45" applyFont="1" applyBorder="1"/>
    <xf numFmtId="178" fontId="79" fillId="0" borderId="20" xfId="45" applyNumberFormat="1" applyFont="1" applyBorder="1"/>
    <xf numFmtId="191" fontId="79" fillId="0" borderId="20" xfId="1" applyNumberFormat="1" applyFont="1" applyFill="1" applyBorder="1"/>
    <xf numFmtId="0" fontId="52" fillId="0" borderId="0" xfId="45" applyFont="1"/>
    <xf numFmtId="1" fontId="0" fillId="0" borderId="0" xfId="0" applyNumberFormat="1"/>
    <xf numFmtId="0" fontId="63" fillId="41" borderId="0" xfId="45" applyFont="1" applyFill="1" applyAlignment="1">
      <alignment horizontal="center"/>
    </xf>
    <xf numFmtId="0" fontId="54" fillId="41" borderId="24" xfId="45" applyFill="1" applyBorder="1"/>
    <xf numFmtId="0" fontId="63" fillId="41" borderId="17" xfId="45" applyFont="1" applyFill="1" applyBorder="1"/>
    <xf numFmtId="183" fontId="63" fillId="41" borderId="17" xfId="45" applyNumberFormat="1" applyFont="1" applyFill="1" applyBorder="1"/>
    <xf numFmtId="0" fontId="63" fillId="41" borderId="25" xfId="45" applyFont="1" applyFill="1" applyBorder="1"/>
    <xf numFmtId="0" fontId="64" fillId="41" borderId="24" xfId="46" applyFill="1" applyBorder="1">
      <alignment vertical="center"/>
    </xf>
    <xf numFmtId="0" fontId="65" fillId="41" borderId="17" xfId="46" applyFont="1" applyFill="1" applyBorder="1" applyAlignment="1">
      <alignment horizontal="left"/>
    </xf>
    <xf numFmtId="184" fontId="65" fillId="41" borderId="25" xfId="46" applyNumberFormat="1" applyFont="1" applyFill="1" applyBorder="1" applyAlignment="1">
      <alignment horizontal="left"/>
    </xf>
    <xf numFmtId="184" fontId="67" fillId="41" borderId="25" xfId="46" applyNumberFormat="1" applyFont="1" applyFill="1" applyBorder="1" applyAlignment="1">
      <alignment horizontal="right"/>
    </xf>
    <xf numFmtId="184" fontId="64" fillId="41" borderId="25" xfId="46" applyNumberFormat="1" applyFill="1" applyBorder="1">
      <alignment vertical="center"/>
    </xf>
    <xf numFmtId="0" fontId="65" fillId="41" borderId="29" xfId="46" applyFont="1" applyFill="1" applyBorder="1" applyAlignment="1">
      <alignment horizontal="left"/>
    </xf>
    <xf numFmtId="0" fontId="65" fillId="41" borderId="18" xfId="46" applyFont="1" applyFill="1" applyBorder="1" applyAlignment="1">
      <alignment horizontal="left"/>
    </xf>
    <xf numFmtId="0" fontId="65" fillId="41" borderId="29" xfId="46" applyFont="1" applyFill="1" applyBorder="1" applyAlignment="1">
      <alignment horizontal="right"/>
    </xf>
    <xf numFmtId="0" fontId="65" fillId="41" borderId="18" xfId="46" applyFont="1" applyFill="1" applyBorder="1" applyAlignment="1">
      <alignment horizontal="right"/>
    </xf>
    <xf numFmtId="0" fontId="65" fillId="41" borderId="26" xfId="46" applyFont="1" applyFill="1" applyBorder="1" applyAlignment="1">
      <alignment horizontal="left"/>
    </xf>
    <xf numFmtId="0" fontId="65" fillId="41" borderId="26" xfId="46" applyFont="1" applyFill="1" applyBorder="1" applyAlignment="1">
      <alignment horizontal="right"/>
    </xf>
    <xf numFmtId="0" fontId="68" fillId="41" borderId="26" xfId="46" applyFont="1" applyFill="1" applyBorder="1" applyAlignment="1">
      <alignment horizontal="right" vertical="center"/>
    </xf>
    <xf numFmtId="0" fontId="67" fillId="0" borderId="17" xfId="46" applyFont="1" applyBorder="1" applyAlignment="1">
      <alignment horizontal="right"/>
    </xf>
    <xf numFmtId="0" fontId="64" fillId="0" borderId="25" xfId="46" applyBorder="1">
      <alignment vertical="center"/>
    </xf>
    <xf numFmtId="0" fontId="64" fillId="0" borderId="28" xfId="46" applyBorder="1">
      <alignment vertical="center"/>
    </xf>
    <xf numFmtId="0" fontId="64" fillId="0" borderId="28" xfId="46" applyBorder="1" applyAlignment="1">
      <alignment horizontal="right" vertical="center"/>
    </xf>
    <xf numFmtId="43" fontId="1" fillId="34" borderId="0" xfId="1" applyFont="1" applyFill="1"/>
    <xf numFmtId="175" fontId="1" fillId="34" borderId="0" xfId="43" applyNumberFormat="1" applyFont="1" applyFill="1"/>
    <xf numFmtId="175" fontId="16" fillId="34" borderId="0" xfId="43" applyNumberFormat="1" applyFont="1" applyFill="1"/>
    <xf numFmtId="191" fontId="16" fillId="0" borderId="0" xfId="0" applyNumberFormat="1" applyFont="1"/>
    <xf numFmtId="166" fontId="16" fillId="42" borderId="23" xfId="0" applyNumberFormat="1" applyFont="1" applyFill="1" applyBorder="1"/>
    <xf numFmtId="43" fontId="0" fillId="34" borderId="0" xfId="1" applyFont="1" applyFill="1"/>
    <xf numFmtId="0" fontId="82" fillId="34" borderId="0" xfId="0" applyFont="1" applyFill="1"/>
    <xf numFmtId="167" fontId="25" fillId="43" borderId="20" xfId="0" applyNumberFormat="1" applyFont="1" applyFill="1" applyBorder="1"/>
    <xf numFmtId="167" fontId="82" fillId="34" borderId="0" xfId="1" applyNumberFormat="1" applyFont="1" applyFill="1"/>
    <xf numFmtId="173" fontId="25" fillId="44" borderId="20" xfId="1" applyNumberFormat="1" applyFont="1" applyFill="1" applyBorder="1"/>
    <xf numFmtId="0" fontId="16" fillId="0" borderId="10" xfId="0" applyFont="1" applyBorder="1"/>
    <xf numFmtId="167" fontId="25" fillId="45" borderId="20" xfId="0" applyNumberFormat="1" applyFont="1" applyFill="1" applyBorder="1"/>
    <xf numFmtId="175" fontId="54" fillId="45" borderId="20" xfId="43" applyNumberFormat="1" applyFont="1" applyFill="1" applyBorder="1"/>
    <xf numFmtId="185" fontId="81" fillId="45" borderId="20" xfId="49" applyNumberFormat="1" applyFont="1" applyFill="1" applyBorder="1"/>
    <xf numFmtId="0" fontId="76" fillId="0" borderId="17" xfId="0" applyFont="1" applyBorder="1" applyAlignment="1">
      <alignment horizontal="right" vertical="top"/>
    </xf>
    <xf numFmtId="9" fontId="0" fillId="0" borderId="0" xfId="0" applyNumberFormat="1"/>
    <xf numFmtId="192" fontId="0" fillId="34" borderId="0" xfId="0" applyNumberFormat="1" applyFill="1"/>
    <xf numFmtId="0" fontId="0" fillId="46" borderId="0" xfId="0" applyFill="1"/>
    <xf numFmtId="0" fontId="25" fillId="46" borderId="0" xfId="0" applyFont="1" applyFill="1"/>
    <xf numFmtId="0" fontId="83" fillId="46" borderId="0" xfId="0" applyFont="1" applyFill="1" applyAlignment="1">
      <alignment horizontal="center"/>
    </xf>
    <xf numFmtId="173" fontId="43" fillId="35" borderId="24" xfId="1" applyNumberFormat="1" applyFont="1" applyFill="1" applyBorder="1"/>
    <xf numFmtId="193" fontId="20" fillId="34" borderId="17" xfId="0" applyNumberFormat="1" applyFont="1" applyFill="1" applyBorder="1"/>
    <xf numFmtId="193" fontId="20" fillId="40" borderId="17" xfId="0" applyNumberFormat="1" applyFont="1" applyFill="1" applyBorder="1"/>
    <xf numFmtId="193" fontId="20" fillId="34" borderId="25" xfId="0" applyNumberFormat="1" applyFont="1" applyFill="1" applyBorder="1"/>
    <xf numFmtId="193" fontId="20" fillId="34" borderId="27" xfId="0" applyNumberFormat="1" applyFont="1" applyFill="1" applyBorder="1"/>
    <xf numFmtId="173" fontId="43" fillId="35" borderId="17" xfId="1" applyNumberFormat="1" applyFont="1" applyFill="1" applyBorder="1"/>
    <xf numFmtId="173" fontId="43" fillId="40" borderId="17" xfId="1" applyNumberFormat="1" applyFont="1" applyFill="1" applyBorder="1"/>
    <xf numFmtId="173" fontId="43" fillId="35" borderId="25" xfId="1" applyNumberFormat="1" applyFont="1" applyFill="1" applyBorder="1"/>
    <xf numFmtId="173" fontId="43" fillId="35" borderId="27" xfId="1" applyNumberFormat="1" applyFont="1" applyFill="1" applyBorder="1"/>
    <xf numFmtId="173" fontId="43" fillId="35" borderId="0" xfId="1" applyNumberFormat="1" applyFont="1" applyFill="1" applyBorder="1"/>
    <xf numFmtId="173" fontId="43" fillId="40" borderId="0" xfId="1" applyNumberFormat="1" applyFont="1" applyFill="1" applyBorder="1"/>
    <xf numFmtId="173" fontId="43" fillId="35" borderId="28" xfId="1" applyNumberFormat="1" applyFont="1" applyFill="1" applyBorder="1"/>
    <xf numFmtId="193" fontId="20" fillId="40" borderId="27" xfId="0" applyNumberFormat="1" applyFont="1" applyFill="1" applyBorder="1"/>
    <xf numFmtId="173" fontId="43" fillId="40" borderId="27" xfId="1" applyNumberFormat="1" applyFont="1" applyFill="1" applyBorder="1"/>
    <xf numFmtId="173" fontId="25" fillId="40" borderId="0" xfId="1" applyNumberFormat="1" applyFont="1" applyFill="1" applyBorder="1"/>
    <xf numFmtId="173" fontId="43" fillId="40" borderId="28" xfId="1" applyNumberFormat="1" applyFont="1" applyFill="1" applyBorder="1"/>
    <xf numFmtId="193" fontId="20" fillId="34" borderId="30" xfId="0" applyNumberFormat="1" applyFont="1" applyFill="1" applyBorder="1"/>
    <xf numFmtId="173" fontId="43" fillId="35" borderId="30" xfId="1" applyNumberFormat="1" applyFont="1" applyFill="1" applyBorder="1"/>
    <xf numFmtId="173" fontId="43" fillId="35" borderId="10" xfId="1" applyNumberFormat="1" applyFont="1" applyFill="1" applyBorder="1"/>
    <xf numFmtId="173" fontId="43" fillId="40" borderId="10" xfId="1" applyNumberFormat="1" applyFont="1" applyFill="1" applyBorder="1"/>
    <xf numFmtId="173" fontId="43" fillId="35" borderId="31" xfId="1" applyNumberFormat="1" applyFont="1" applyFill="1" applyBorder="1"/>
    <xf numFmtId="0" fontId="43" fillId="34" borderId="0" xfId="0" applyFont="1" applyFill="1"/>
    <xf numFmtId="0" fontId="63" fillId="0" borderId="0" xfId="45" applyFont="1" applyAlignment="1">
      <alignment horizontal="center"/>
    </xf>
    <xf numFmtId="0" fontId="63" fillId="0" borderId="0" xfId="45" applyFont="1"/>
    <xf numFmtId="183" fontId="63" fillId="0" borderId="0" xfId="45" applyNumberFormat="1" applyFont="1"/>
    <xf numFmtId="177" fontId="48" fillId="0" borderId="0" xfId="45" applyNumberFormat="1" applyFont="1"/>
    <xf numFmtId="185" fontId="73" fillId="0" borderId="0" xfId="49" applyNumberFormat="1" applyFont="1" applyFill="1" applyBorder="1"/>
    <xf numFmtId="43" fontId="54" fillId="0" borderId="0" xfId="45" applyNumberFormat="1"/>
    <xf numFmtId="175" fontId="54" fillId="0" borderId="0" xfId="45" applyNumberFormat="1"/>
    <xf numFmtId="0" fontId="51" fillId="0" borderId="0" xfId="45" applyFont="1"/>
    <xf numFmtId="175" fontId="51" fillId="0" borderId="0" xfId="45" applyNumberFormat="1" applyFont="1"/>
    <xf numFmtId="181" fontId="20" fillId="34" borderId="17" xfId="0" applyNumberFormat="1" applyFont="1" applyFill="1" applyBorder="1"/>
    <xf numFmtId="181" fontId="20" fillId="40" borderId="17" xfId="0" applyNumberFormat="1" applyFont="1" applyFill="1" applyBorder="1"/>
    <xf numFmtId="0" fontId="25" fillId="36" borderId="32" xfId="0" applyFont="1" applyFill="1" applyBorder="1"/>
    <xf numFmtId="0" fontId="0" fillId="36" borderId="33" xfId="0" applyFill="1" applyBorder="1"/>
    <xf numFmtId="191" fontId="16" fillId="36" borderId="34" xfId="1" applyNumberFormat="1" applyFont="1" applyFill="1" applyBorder="1"/>
    <xf numFmtId="6" fontId="0" fillId="0" borderId="0" xfId="0" applyNumberFormat="1"/>
    <xf numFmtId="6" fontId="0" fillId="0" borderId="10" xfId="0" applyNumberFormat="1" applyBorder="1"/>
    <xf numFmtId="0" fontId="16" fillId="36" borderId="0" xfId="0" applyFont="1" applyFill="1"/>
    <xf numFmtId="0" fontId="16" fillId="36" borderId="0" xfId="0" applyFont="1" applyFill="1" applyAlignment="1">
      <alignment horizontal="right"/>
    </xf>
    <xf numFmtId="9" fontId="36" fillId="0" borderId="0" xfId="0" applyNumberFormat="1" applyFont="1"/>
    <xf numFmtId="178" fontId="16" fillId="53" borderId="17" xfId="0" applyNumberFormat="1" applyFont="1" applyFill="1" applyBorder="1"/>
    <xf numFmtId="178" fontId="16" fillId="39" borderId="17" xfId="0" applyNumberFormat="1" applyFont="1" applyFill="1" applyBorder="1"/>
    <xf numFmtId="178" fontId="16" fillId="54" borderId="17" xfId="0" applyNumberFormat="1" applyFont="1" applyFill="1" applyBorder="1"/>
    <xf numFmtId="175" fontId="86" fillId="36" borderId="0" xfId="0" applyNumberFormat="1" applyFont="1" applyFill="1" applyAlignment="1">
      <alignment horizontal="center" vertical="center" wrapText="1"/>
    </xf>
    <xf numFmtId="3" fontId="86" fillId="36" borderId="0" xfId="0" applyNumberFormat="1" applyFont="1" applyFill="1" applyAlignment="1">
      <alignment horizontal="center" vertical="center" wrapText="1"/>
    </xf>
    <xf numFmtId="178" fontId="0" fillId="36" borderId="0" xfId="0" applyNumberFormat="1" applyFill="1"/>
    <xf numFmtId="175" fontId="0" fillId="36" borderId="0" xfId="0" applyNumberFormat="1" applyFill="1"/>
    <xf numFmtId="0" fontId="0" fillId="55" borderId="0" xfId="0" applyFill="1"/>
    <xf numFmtId="178" fontId="0" fillId="55" borderId="0" xfId="0" applyNumberFormat="1" applyFill="1"/>
    <xf numFmtId="0" fontId="0" fillId="56" borderId="0" xfId="0" applyFill="1"/>
    <xf numFmtId="175" fontId="85" fillId="56" borderId="0" xfId="0" applyNumberFormat="1" applyFont="1" applyFill="1" applyAlignment="1">
      <alignment horizontal="center" vertical="center" wrapText="1"/>
    </xf>
    <xf numFmtId="3" fontId="85" fillId="56" borderId="0" xfId="0" applyNumberFormat="1" applyFont="1" applyFill="1" applyAlignment="1">
      <alignment horizontal="center" vertical="center" wrapText="1"/>
    </xf>
    <xf numFmtId="178" fontId="0" fillId="56" borderId="0" xfId="0" applyNumberFormat="1" applyFill="1"/>
    <xf numFmtId="0" fontId="89" fillId="0" borderId="36" xfId="0" applyFont="1" applyBorder="1" applyAlignment="1">
      <alignment horizontal="center" vertical="center" wrapText="1"/>
    </xf>
    <xf numFmtId="0" fontId="16" fillId="53" borderId="35" xfId="0" applyFont="1" applyFill="1" applyBorder="1" applyAlignment="1">
      <alignment horizontal="center"/>
    </xf>
    <xf numFmtId="0" fontId="16" fillId="39" borderId="10" xfId="0" applyFont="1" applyFill="1" applyBorder="1" applyAlignment="1">
      <alignment horizontal="center"/>
    </xf>
    <xf numFmtId="0" fontId="16" fillId="54" borderId="10" xfId="0" applyFont="1" applyFill="1" applyBorder="1" applyAlignment="1">
      <alignment horizontal="center"/>
    </xf>
    <xf numFmtId="0" fontId="84" fillId="0" borderId="0" xfId="0" applyFont="1" applyAlignment="1">
      <alignment horizontal="left" vertical="center" wrapText="1"/>
    </xf>
    <xf numFmtId="175" fontId="86" fillId="51" borderId="37" xfId="0" applyNumberFormat="1" applyFont="1" applyFill="1" applyBorder="1" applyAlignment="1">
      <alignment horizontal="center" vertical="center" wrapText="1"/>
    </xf>
    <xf numFmtId="1" fontId="0" fillId="0" borderId="37" xfId="0" applyNumberFormat="1" applyBorder="1"/>
    <xf numFmtId="1" fontId="0" fillId="36" borderId="37" xfId="0" applyNumberFormat="1" applyFill="1" applyBorder="1"/>
    <xf numFmtId="191" fontId="0" fillId="0" borderId="37" xfId="1" applyNumberFormat="1" applyFont="1" applyBorder="1"/>
    <xf numFmtId="191" fontId="0" fillId="36" borderId="37" xfId="1" applyNumberFormat="1" applyFont="1" applyFill="1" applyBorder="1"/>
    <xf numFmtId="191" fontId="0" fillId="0" borderId="38" xfId="1" applyNumberFormat="1" applyFont="1" applyBorder="1"/>
    <xf numFmtId="175" fontId="86" fillId="51" borderId="39" xfId="0" applyNumberFormat="1" applyFont="1" applyFill="1" applyBorder="1" applyAlignment="1">
      <alignment horizontal="center" vertical="center" wrapText="1"/>
    </xf>
    <xf numFmtId="175" fontId="85" fillId="52" borderId="40" xfId="0" applyNumberFormat="1" applyFont="1" applyFill="1" applyBorder="1" applyAlignment="1">
      <alignment horizontal="center" vertical="center" wrapText="1"/>
    </xf>
    <xf numFmtId="175" fontId="85" fillId="52" borderId="41" xfId="0" applyNumberFormat="1" applyFont="1" applyFill="1" applyBorder="1" applyAlignment="1">
      <alignment horizontal="center" vertical="center" wrapText="1"/>
    </xf>
    <xf numFmtId="1" fontId="0" fillId="0" borderId="41" xfId="0" applyNumberFormat="1" applyBorder="1"/>
    <xf numFmtId="1" fontId="0" fillId="36" borderId="41" xfId="0" applyNumberFormat="1" applyFill="1" applyBorder="1"/>
    <xf numFmtId="191" fontId="0" fillId="0" borderId="41" xfId="1" applyNumberFormat="1" applyFont="1" applyBorder="1"/>
    <xf numFmtId="191" fontId="0" fillId="36" borderId="41" xfId="1" applyNumberFormat="1" applyFont="1" applyFill="1" applyBorder="1"/>
    <xf numFmtId="191" fontId="0" fillId="0" borderId="42" xfId="1" applyNumberFormat="1" applyFont="1" applyBorder="1"/>
    <xf numFmtId="175" fontId="85" fillId="50" borderId="43" xfId="0" applyNumberFormat="1" applyFont="1" applyFill="1" applyBorder="1" applyAlignment="1">
      <alignment horizontal="center" vertical="center" wrapText="1"/>
    </xf>
    <xf numFmtId="175" fontId="85" fillId="50" borderId="44" xfId="0" applyNumberFormat="1" applyFont="1" applyFill="1" applyBorder="1" applyAlignment="1">
      <alignment horizontal="center" vertical="center" wrapText="1"/>
    </xf>
    <xf numFmtId="1" fontId="0" fillId="0" borderId="44" xfId="0" applyNumberFormat="1" applyBorder="1"/>
    <xf numFmtId="1" fontId="0" fillId="36" borderId="44" xfId="0" applyNumberFormat="1" applyFill="1" applyBorder="1"/>
    <xf numFmtId="191" fontId="0" fillId="0" borderId="44" xfId="1" applyNumberFormat="1" applyFont="1" applyBorder="1"/>
    <xf numFmtId="191" fontId="0" fillId="36" borderId="44" xfId="1" applyNumberFormat="1" applyFont="1" applyFill="1" applyBorder="1"/>
    <xf numFmtId="191" fontId="0" fillId="0" borderId="45" xfId="1" applyNumberFormat="1" applyFont="1" applyBorder="1"/>
    <xf numFmtId="0" fontId="0" fillId="0" borderId="46" xfId="0" applyBorder="1"/>
    <xf numFmtId="0" fontId="84" fillId="0" borderId="47" xfId="0" applyFont="1" applyBorder="1" applyAlignment="1">
      <alignment horizontal="left" vertical="center" wrapText="1"/>
    </xf>
    <xf numFmtId="0" fontId="87" fillId="0" borderId="47" xfId="0" applyFont="1" applyBorder="1" applyAlignment="1">
      <alignment horizontal="left" vertical="center" wrapText="1"/>
    </xf>
    <xf numFmtId="0" fontId="87" fillId="36" borderId="47" xfId="0" applyFont="1" applyFill="1" applyBorder="1" applyAlignment="1">
      <alignment horizontal="left" vertical="center" wrapText="1"/>
    </xf>
    <xf numFmtId="0" fontId="87" fillId="0" borderId="48" xfId="0" applyFont="1" applyBorder="1" applyAlignment="1">
      <alignment horizontal="left" vertical="center" wrapText="1"/>
    </xf>
    <xf numFmtId="0" fontId="88" fillId="57" borderId="20" xfId="0" applyFont="1" applyFill="1" applyBorder="1" applyAlignment="1">
      <alignment horizontal="left" vertical="center" wrapText="1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84" fillId="0" borderId="53" xfId="0" applyFont="1" applyBorder="1" applyAlignment="1">
      <alignment horizontal="left" vertical="center" wrapText="1"/>
    </xf>
    <xf numFmtId="179" fontId="85" fillId="50" borderId="54" xfId="0" applyNumberFormat="1" applyFont="1" applyFill="1" applyBorder="1" applyAlignment="1">
      <alignment horizontal="center" vertical="center" wrapText="1"/>
    </xf>
    <xf numFmtId="179" fontId="86" fillId="51" borderId="55" xfId="0" applyNumberFormat="1" applyFont="1" applyFill="1" applyBorder="1" applyAlignment="1">
      <alignment horizontal="center" vertical="center" wrapText="1"/>
    </xf>
    <xf numFmtId="179" fontId="85" fillId="52" borderId="56" xfId="0" applyNumberFormat="1" applyFont="1" applyFill="1" applyBorder="1" applyAlignment="1">
      <alignment horizontal="center" vertical="center" wrapText="1"/>
    </xf>
    <xf numFmtId="175" fontId="36" fillId="56" borderId="0" xfId="0" applyNumberFormat="1" applyFont="1" applyFill="1"/>
    <xf numFmtId="175" fontId="36" fillId="55" borderId="0" xfId="0" applyNumberFormat="1" applyFont="1" applyFill="1"/>
    <xf numFmtId="166" fontId="16" fillId="42" borderId="0" xfId="0" applyNumberFormat="1" applyFont="1" applyFill="1"/>
    <xf numFmtId="175" fontId="85" fillId="55" borderId="0" xfId="0" applyNumberFormat="1" applyFont="1" applyFill="1" applyAlignment="1">
      <alignment horizontal="center" vertical="center" wrapText="1"/>
    </xf>
    <xf numFmtId="3" fontId="85" fillId="55" borderId="0" xfId="0" applyNumberFormat="1" applyFont="1" applyFill="1" applyAlignment="1">
      <alignment horizontal="center" vertical="center" wrapText="1"/>
    </xf>
    <xf numFmtId="178" fontId="16" fillId="55" borderId="0" xfId="0" applyNumberFormat="1" applyFont="1" applyFill="1"/>
    <xf numFmtId="178" fontId="16" fillId="36" borderId="0" xfId="0" applyNumberFormat="1" applyFont="1" applyFill="1"/>
    <xf numFmtId="178" fontId="16" fillId="56" borderId="0" xfId="0" applyNumberFormat="1" applyFont="1" applyFill="1"/>
    <xf numFmtId="178" fontId="0" fillId="55" borderId="10" xfId="0" applyNumberFormat="1" applyFill="1" applyBorder="1"/>
    <xf numFmtId="178" fontId="0" fillId="36" borderId="10" xfId="0" applyNumberFormat="1" applyFill="1" applyBorder="1"/>
    <xf numFmtId="178" fontId="0" fillId="56" borderId="10" xfId="0" applyNumberFormat="1" applyFill="1" applyBorder="1"/>
    <xf numFmtId="191" fontId="16" fillId="45" borderId="18" xfId="1" applyNumberFormat="1" applyFont="1" applyFill="1" applyBorder="1"/>
    <xf numFmtId="191" fontId="16" fillId="45" borderId="26" xfId="1" applyNumberFormat="1" applyFont="1" applyFill="1" applyBorder="1"/>
    <xf numFmtId="0" fontId="88" fillId="36" borderId="47" xfId="0" applyFont="1" applyFill="1" applyBorder="1" applyAlignment="1">
      <alignment horizontal="left" vertical="center" wrapText="1"/>
    </xf>
    <xf numFmtId="1" fontId="16" fillId="36" borderId="44" xfId="0" applyNumberFormat="1" applyFont="1" applyFill="1" applyBorder="1"/>
    <xf numFmtId="1" fontId="16" fillId="36" borderId="37" xfId="0" applyNumberFormat="1" applyFont="1" applyFill="1" applyBorder="1"/>
    <xf numFmtId="1" fontId="16" fillId="36" borderId="41" xfId="0" applyNumberFormat="1" applyFont="1" applyFill="1" applyBorder="1"/>
    <xf numFmtId="14" fontId="0" fillId="0" borderId="0" xfId="0" applyNumberFormat="1" applyAlignment="1">
      <alignment horizontal="left"/>
    </xf>
    <xf numFmtId="0" fontId="16" fillId="0" borderId="29" xfId="0" applyFont="1" applyBorder="1"/>
    <xf numFmtId="0" fontId="0" fillId="0" borderId="18" xfId="0" applyBorder="1"/>
    <xf numFmtId="170" fontId="36" fillId="0" borderId="18" xfId="1" applyNumberFormat="1" applyFont="1" applyBorder="1" applyAlignment="1"/>
    <xf numFmtId="0" fontId="0" fillId="0" borderId="26" xfId="0" applyBorder="1"/>
    <xf numFmtId="184" fontId="66" fillId="41" borderId="24" xfId="46" applyNumberFormat="1" applyFont="1" applyFill="1" applyBorder="1" applyAlignment="1">
      <alignment horizontal="center" vertical="center"/>
    </xf>
    <xf numFmtId="184" fontId="66" fillId="41" borderId="17" xfId="46" applyNumberFormat="1" applyFont="1" applyFill="1" applyBorder="1" applyAlignment="1">
      <alignment horizontal="center" vertical="center"/>
    </xf>
    <xf numFmtId="0" fontId="16" fillId="47" borderId="0" xfId="0" applyFont="1" applyFill="1" applyAlignment="1">
      <alignment horizontal="center"/>
    </xf>
    <xf numFmtId="0" fontId="13" fillId="49" borderId="0" xfId="0" applyFont="1" applyFill="1" applyAlignment="1">
      <alignment horizontal="center"/>
    </xf>
    <xf numFmtId="0" fontId="16" fillId="48" borderId="0" xfId="0" applyFont="1" applyFill="1" applyAlignment="1">
      <alignment horizontal="center"/>
    </xf>
  </cellXfs>
  <cellStyles count="52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50" xr:uid="{088D0E1A-66B5-47B1-B5C9-DD0440146DBE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44" xr:uid="{563E5608-EEE2-429E-903E-40EE8105422A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5" xr:uid="{6BC095D7-41D9-46B4-9061-8CBB131D85CD}"/>
    <cellStyle name="Normal 2 2" xfId="46" xr:uid="{2CFD4C85-E85B-4607-93BB-287541043ED8}"/>
    <cellStyle name="Normal 2 2 2" xfId="47" xr:uid="{2C374C57-A8D9-402D-8EB9-BD6C52F0DB26}"/>
    <cellStyle name="Normal 3" xfId="51" xr:uid="{B30C07B9-EDCE-4CAF-943F-9829093EC8F6}"/>
    <cellStyle name="Normal 4" xfId="48" xr:uid="{912CEE44-02A1-4C41-BDC2-7B1734DBA384}"/>
    <cellStyle name="Note" xfId="16" builtinId="10" customBuiltin="1"/>
    <cellStyle name="Output" xfId="11" builtinId="21" customBuiltin="1"/>
    <cellStyle name="Percent" xfId="43" builtinId="5"/>
    <cellStyle name="Percent 2" xfId="49" xr:uid="{157AFC8B-68A4-4F70-B628-F7384AEB3F55}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font>
        <color rgb="FF3BA752"/>
      </font>
    </dxf>
    <dxf>
      <font>
        <color rgb="FFC34545"/>
      </font>
    </dxf>
    <dxf>
      <font>
        <color rgb="FF3BA752"/>
      </font>
    </dxf>
    <dxf>
      <font>
        <color rgb="FFC34545"/>
      </font>
    </dxf>
  </dxfs>
  <tableStyles count="0" defaultTableStyle="TableStyleMedium2" defaultPivotStyle="PivotStyleLight16"/>
  <colors>
    <mruColors>
      <color rgb="FF3366FF"/>
      <color rgb="FFFFFF99"/>
      <color rgb="FFD1EFD7"/>
      <color rgb="FFE3F5E6"/>
      <color rgb="FFEABCBC"/>
      <color rgb="FFF8E8E8"/>
      <color rgb="FF3BA752"/>
      <color rgb="FFCA5A5A"/>
      <color rgb="FFC34545"/>
      <color rgb="FF9D23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82378</xdr:colOff>
      <xdr:row>1</xdr:row>
      <xdr:rowOff>89244</xdr:rowOff>
    </xdr:from>
    <xdr:to>
      <xdr:col>2</xdr:col>
      <xdr:colOff>1076764</xdr:colOff>
      <xdr:row>4</xdr:row>
      <xdr:rowOff>48054</xdr:rowOff>
    </xdr:to>
    <xdr:pic>
      <xdr:nvPicPr>
        <xdr:cNvPr id="2" name="Picture 1" descr="Wheels India logo in transparent PNG format">
          <a:extLst>
            <a:ext uri="{FF2B5EF4-FFF2-40B4-BE49-F238E27FC236}">
              <a16:creationId xmlns:a16="http://schemas.microsoft.com/office/drawing/2014/main" id="{9266D91E-5F3A-EDE1-1C01-0B6E5544B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189" y="254001"/>
          <a:ext cx="1275845" cy="453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hishek\Downloads\Kaynes_Technologies_Financial_V1.3.xlsb" TargetMode="External"/><Relationship Id="rId1" Type="http://schemas.openxmlformats.org/officeDocument/2006/relationships/externalLinkPath" Target="Kaynes_Technologies_Financial_V1.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Scenario"/>
      <sheetName val="Historicals"/>
      <sheetName val="Assumptions"/>
      <sheetName val="Financial Statements"/>
      <sheetName val="ValSum"/>
      <sheetName val="DCF"/>
      <sheetName val="WACC - Beta"/>
      <sheetName val="Public-Comp"/>
      <sheetName val="M&amp;A-Comp"/>
      <sheetName val="Ratios"/>
    </sheetNames>
    <sheetDataSet>
      <sheetData sheetId="0"/>
      <sheetData sheetId="1"/>
      <sheetData sheetId="2"/>
      <sheetData sheetId="3">
        <row r="5">
          <cell r="AK5">
            <v>0</v>
          </cell>
        </row>
        <row r="7">
          <cell r="F7" t="str">
            <v>Kaynes Technologies</v>
          </cell>
        </row>
        <row r="8">
          <cell r="F8" t="str">
            <v>KAYNES</v>
          </cell>
        </row>
        <row r="15">
          <cell r="I15" t="str">
            <v>INR</v>
          </cell>
        </row>
        <row r="16">
          <cell r="I16" t="str">
            <v>Millions</v>
          </cell>
        </row>
        <row r="19">
          <cell r="I19">
            <v>6455</v>
          </cell>
        </row>
        <row r="20">
          <cell r="I20">
            <v>45972</v>
          </cell>
        </row>
        <row r="22">
          <cell r="I22" t="str">
            <v>India</v>
          </cell>
        </row>
        <row r="26">
          <cell r="I26">
            <v>2025</v>
          </cell>
        </row>
        <row r="41">
          <cell r="I41">
            <v>0.21</v>
          </cell>
        </row>
        <row r="62">
          <cell r="AF62">
            <v>4.4999999999999998E-2</v>
          </cell>
          <cell r="AM62">
            <v>11</v>
          </cell>
        </row>
      </sheetData>
      <sheetData sheetId="4"/>
      <sheetData sheetId="5"/>
      <sheetData sheetId="6">
        <row r="10">
          <cell r="D10">
            <v>65.950817608055772</v>
          </cell>
        </row>
        <row r="11">
          <cell r="D11">
            <v>425712.52766000002</v>
          </cell>
        </row>
        <row r="17">
          <cell r="D17">
            <v>424254.12766000006</v>
          </cell>
        </row>
        <row r="53">
          <cell r="D53">
            <v>0.11389460483862904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1EA7-1AFD-4847-A0CD-7D36D52A14C9}">
  <dimension ref="B5:E26"/>
  <sheetViews>
    <sheetView showGridLines="0" topLeftCell="A2" zoomScale="111" workbookViewId="0">
      <selection activeCell="E12" sqref="E12"/>
    </sheetView>
  </sheetViews>
  <sheetFormatPr defaultRowHeight="13.2" x14ac:dyDescent="0.25"/>
  <cols>
    <col min="1" max="1" width="3.109375" customWidth="1"/>
    <col min="2" max="2" width="4.109375" customWidth="1"/>
    <col min="3" max="3" width="19.5546875" customWidth="1"/>
    <col min="4" max="4" width="16.88671875" customWidth="1"/>
  </cols>
  <sheetData>
    <row r="5" spans="2:5" s="88" customFormat="1" x14ac:dyDescent="0.25"/>
    <row r="7" spans="2:5" x14ac:dyDescent="0.25">
      <c r="B7" s="1" t="s">
        <v>330</v>
      </c>
      <c r="D7" t="s">
        <v>331</v>
      </c>
    </row>
    <row r="8" spans="2:5" x14ac:dyDescent="0.25">
      <c r="B8" s="1" t="s">
        <v>332</v>
      </c>
      <c r="D8" s="394">
        <v>46169</v>
      </c>
    </row>
    <row r="9" spans="2:5" x14ac:dyDescent="0.25">
      <c r="B9" s="1" t="s">
        <v>333</v>
      </c>
      <c r="D9" t="s">
        <v>335</v>
      </c>
    </row>
    <row r="11" spans="2:5" x14ac:dyDescent="0.25">
      <c r="B11" s="395" t="s">
        <v>334</v>
      </c>
      <c r="C11" s="396"/>
      <c r="D11" s="397">
        <v>1575.8</v>
      </c>
      <c r="E11" s="398" t="s">
        <v>336</v>
      </c>
    </row>
    <row r="12" spans="2:5" s="88" customFormat="1" x14ac:dyDescent="0.25"/>
    <row r="14" spans="2:5" x14ac:dyDescent="0.25">
      <c r="B14" s="1" t="s">
        <v>337</v>
      </c>
    </row>
    <row r="15" spans="2:5" x14ac:dyDescent="0.25">
      <c r="B15" s="70">
        <v>1</v>
      </c>
      <c r="C15" s="1" t="s">
        <v>371</v>
      </c>
    </row>
    <row r="16" spans="2:5" x14ac:dyDescent="0.25">
      <c r="B16" s="70">
        <f>B15+1</f>
        <v>2</v>
      </c>
      <c r="C16" s="1" t="s">
        <v>338</v>
      </c>
    </row>
    <row r="17" spans="2:3" x14ac:dyDescent="0.25">
      <c r="B17" s="63">
        <f t="shared" ref="B17:B24" si="0">B16+1</f>
        <v>3</v>
      </c>
      <c r="C17" t="s">
        <v>372</v>
      </c>
    </row>
    <row r="18" spans="2:3" x14ac:dyDescent="0.25">
      <c r="B18" s="63">
        <f t="shared" si="0"/>
        <v>4</v>
      </c>
      <c r="C18" t="s">
        <v>339</v>
      </c>
    </row>
    <row r="19" spans="2:3" x14ac:dyDescent="0.25">
      <c r="B19" s="63">
        <f t="shared" si="0"/>
        <v>5</v>
      </c>
      <c r="C19" t="s">
        <v>340</v>
      </c>
    </row>
    <row r="20" spans="2:3" x14ac:dyDescent="0.25">
      <c r="B20" s="63">
        <f t="shared" si="0"/>
        <v>6</v>
      </c>
      <c r="C20" t="s">
        <v>341</v>
      </c>
    </row>
    <row r="21" spans="2:3" x14ac:dyDescent="0.25">
      <c r="B21" s="63">
        <f t="shared" si="0"/>
        <v>7</v>
      </c>
      <c r="C21" t="s">
        <v>342</v>
      </c>
    </row>
    <row r="22" spans="2:3" x14ac:dyDescent="0.25">
      <c r="B22" s="63">
        <f t="shared" si="0"/>
        <v>8</v>
      </c>
      <c r="C22" t="s">
        <v>343</v>
      </c>
    </row>
    <row r="23" spans="2:3" x14ac:dyDescent="0.25">
      <c r="B23" s="70">
        <f t="shared" si="0"/>
        <v>9</v>
      </c>
      <c r="C23" s="1" t="s">
        <v>345</v>
      </c>
    </row>
    <row r="24" spans="2:3" x14ac:dyDescent="0.25">
      <c r="B24" s="63">
        <f t="shared" si="0"/>
        <v>10</v>
      </c>
      <c r="C24" t="s">
        <v>344</v>
      </c>
    </row>
    <row r="25" spans="2:3" x14ac:dyDescent="0.25">
      <c r="B25" s="63">
        <v>11</v>
      </c>
      <c r="C25" t="s">
        <v>259</v>
      </c>
    </row>
    <row r="26" spans="2:3" s="88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EC0B-1C44-4AED-BE6F-1E5180C410BF}">
  <dimension ref="B3:G22"/>
  <sheetViews>
    <sheetView showGridLines="0" workbookViewId="0">
      <selection activeCell="D17" sqref="D17"/>
    </sheetView>
  </sheetViews>
  <sheetFormatPr defaultRowHeight="13.2" x14ac:dyDescent="0.25"/>
  <cols>
    <col min="1" max="1" width="3.44140625" customWidth="1"/>
    <col min="2" max="2" width="38" customWidth="1"/>
    <col min="3" max="5" width="20.77734375" customWidth="1"/>
  </cols>
  <sheetData>
    <row r="3" spans="2:5" x14ac:dyDescent="0.25">
      <c r="B3" s="337" t="s">
        <v>355</v>
      </c>
      <c r="C3" s="338" t="s">
        <v>346</v>
      </c>
      <c r="D3" s="339" t="s">
        <v>347</v>
      </c>
      <c r="E3" s="340" t="s">
        <v>348</v>
      </c>
    </row>
    <row r="5" spans="2:5" x14ac:dyDescent="0.25">
      <c r="B5" s="363" t="s">
        <v>256</v>
      </c>
      <c r="C5" s="356">
        <v>0.14499999999999999</v>
      </c>
      <c r="D5" s="348">
        <f>Valuation!D14</f>
        <v>0.14134764584832915</v>
      </c>
      <c r="E5" s="349">
        <v>0.13700000000000001</v>
      </c>
    </row>
    <row r="6" spans="2:5" x14ac:dyDescent="0.25">
      <c r="B6" s="364" t="s">
        <v>356</v>
      </c>
      <c r="C6" s="357">
        <v>4.4999999999999998E-2</v>
      </c>
      <c r="D6" s="342">
        <f>Valuation!D16</f>
        <v>0.05</v>
      </c>
      <c r="E6" s="350">
        <v>5.5E-2</v>
      </c>
    </row>
    <row r="7" spans="2:5" x14ac:dyDescent="0.25">
      <c r="B7" s="373" t="s">
        <v>357</v>
      </c>
      <c r="C7" s="374">
        <v>7.5</v>
      </c>
      <c r="D7" s="375">
        <f>Valuation!D43</f>
        <v>8.5</v>
      </c>
      <c r="E7" s="376">
        <v>9.5</v>
      </c>
    </row>
    <row r="8" spans="2:5" x14ac:dyDescent="0.25">
      <c r="B8" s="369"/>
      <c r="C8" s="370"/>
      <c r="D8" s="371"/>
      <c r="E8" s="372"/>
    </row>
    <row r="9" spans="2:5" x14ac:dyDescent="0.25">
      <c r="B9" s="365" t="s">
        <v>358</v>
      </c>
      <c r="C9" s="358">
        <f>SUM('Scenario Assumptions'!E20:I20)</f>
        <v>842.15085264608854</v>
      </c>
      <c r="D9" s="343">
        <f>SUM('Scenario Assumptions'!K20:O20)</f>
        <v>895.82179958769086</v>
      </c>
      <c r="E9" s="351">
        <f>SUM('Scenario Assumptions'!Q20:U20)</f>
        <v>908.82469347983965</v>
      </c>
    </row>
    <row r="10" spans="2:5" x14ac:dyDescent="0.25">
      <c r="B10" s="365" t="s">
        <v>362</v>
      </c>
      <c r="C10" s="358">
        <f>'Scenario Assumptions'!I15*(1+C6)/(C5-C6)*'Scenario Assumptions'!I18</f>
        <v>1618.7361075545625</v>
      </c>
      <c r="D10" s="343">
        <f>'Scenario Assumptions'!O15*(1+D6)/(D5-D6)*'Scenario Assumptions'!O18</f>
        <v>2723.0048593238412</v>
      </c>
      <c r="E10" s="351">
        <f>'Scenario Assumptions'!U15*(1+E6)/(E5-E6)*'Scenario Assumptions'!U18</f>
        <v>4075.7327446551903</v>
      </c>
    </row>
    <row r="11" spans="2:5" x14ac:dyDescent="0.25">
      <c r="B11" s="390" t="s">
        <v>363</v>
      </c>
      <c r="C11" s="391">
        <f>SUM(C9:C10)</f>
        <v>2460.8869602006512</v>
      </c>
      <c r="D11" s="392">
        <f t="shared" ref="D11:E11" si="0">SUM(D9:D10)</f>
        <v>3618.8266589115319</v>
      </c>
      <c r="E11" s="393">
        <f t="shared" si="0"/>
        <v>4984.5574381350298</v>
      </c>
    </row>
    <row r="12" spans="2:5" x14ac:dyDescent="0.25">
      <c r="B12" s="365" t="s">
        <v>364</v>
      </c>
      <c r="C12" s="358">
        <f>C7*'Scenario Assumptions'!I9*'Scenario Assumptions'!I18</f>
        <v>2471.2709874882353</v>
      </c>
      <c r="D12" s="343">
        <f>'Valuation Summary'!D7*'Scenario Assumptions'!O9*'Scenario Assumptions'!O18</f>
        <v>4602.4518975373012</v>
      </c>
      <c r="E12" s="351">
        <f>'Valuation Summary'!E7*'Scenario Assumptions'!U9*'Scenario Assumptions'!U18</f>
        <v>7171.6853801967227</v>
      </c>
    </row>
    <row r="13" spans="2:5" x14ac:dyDescent="0.25">
      <c r="B13" s="390" t="s">
        <v>365</v>
      </c>
      <c r="C13" s="391">
        <f>C9+C12</f>
        <v>3313.4218401343237</v>
      </c>
      <c r="D13" s="392">
        <f t="shared" ref="D13:E13" si="1">D9+D12</f>
        <v>5498.2736971249924</v>
      </c>
      <c r="E13" s="393">
        <f t="shared" si="1"/>
        <v>8080.5100736765626</v>
      </c>
    </row>
    <row r="14" spans="2:5" x14ac:dyDescent="0.25">
      <c r="B14" s="365" t="s">
        <v>370</v>
      </c>
      <c r="C14" s="358">
        <f>SUM(Valuation!H27:H31)</f>
        <v>-686.1400000000001</v>
      </c>
      <c r="D14" s="343">
        <f>C14</f>
        <v>-686.1400000000001</v>
      </c>
      <c r="E14" s="351">
        <f>D14</f>
        <v>-686.1400000000001</v>
      </c>
    </row>
    <row r="15" spans="2:5" x14ac:dyDescent="0.25">
      <c r="B15" s="366" t="s">
        <v>366</v>
      </c>
      <c r="C15" s="359">
        <f>MAX(0,C11+C14)</f>
        <v>1774.7469602006511</v>
      </c>
      <c r="D15" s="344">
        <f t="shared" ref="D15:E15" si="2">MAX(0,D11+D14)</f>
        <v>2932.6866589115316</v>
      </c>
      <c r="E15" s="352">
        <f t="shared" si="2"/>
        <v>4298.4174381350294</v>
      </c>
    </row>
    <row r="16" spans="2:5" x14ac:dyDescent="0.25">
      <c r="B16" s="365" t="s">
        <v>367</v>
      </c>
      <c r="C16" s="360">
        <f>C13+C14</f>
        <v>2627.2818401343238</v>
      </c>
      <c r="D16" s="345">
        <f>D13+D14</f>
        <v>4812.1336971249921</v>
      </c>
      <c r="E16" s="353">
        <f>E13+E14</f>
        <v>7394.3700736765622</v>
      </c>
    </row>
    <row r="17" spans="2:7" x14ac:dyDescent="0.25">
      <c r="B17" s="365" t="s">
        <v>359</v>
      </c>
      <c r="C17" s="360">
        <f>Valuation!E33</f>
        <v>24433012</v>
      </c>
      <c r="D17" s="345">
        <f>C17</f>
        <v>24433012</v>
      </c>
      <c r="E17" s="353">
        <f>D17</f>
        <v>24433012</v>
      </c>
      <c r="G17" s="61" t="s">
        <v>324</v>
      </c>
    </row>
    <row r="18" spans="2:7" x14ac:dyDescent="0.25">
      <c r="B18" s="366" t="s">
        <v>368</v>
      </c>
      <c r="C18" s="361">
        <f>C15*10^7/C17</f>
        <v>726.37256520016899</v>
      </c>
      <c r="D18" s="346">
        <f t="shared" ref="D18:E18" si="3">D15*10^7/D17</f>
        <v>1200.296819283489</v>
      </c>
      <c r="E18" s="354">
        <f t="shared" si="3"/>
        <v>1759.2662902695049</v>
      </c>
      <c r="G18" s="323">
        <v>0.6</v>
      </c>
    </row>
    <row r="19" spans="2:7" x14ac:dyDescent="0.25">
      <c r="B19" s="367" t="s">
        <v>369</v>
      </c>
      <c r="C19" s="362">
        <f>C16*10^7/C17</f>
        <v>1075.3000244645743</v>
      </c>
      <c r="D19" s="347">
        <f t="shared" ref="D19:E19" si="4">D16*10^7/D17</f>
        <v>1969.5212760199161</v>
      </c>
      <c r="E19" s="355">
        <f t="shared" si="4"/>
        <v>3026.3849883414136</v>
      </c>
      <c r="G19" s="323">
        <v>0.4</v>
      </c>
    </row>
    <row r="20" spans="2:7" x14ac:dyDescent="0.25">
      <c r="B20" s="368" t="s">
        <v>360</v>
      </c>
      <c r="C20" s="388">
        <f>C18*$G$18+C19*$G$19</f>
        <v>865.94354890593115</v>
      </c>
      <c r="D20" s="388">
        <f t="shared" ref="D20:E20" si="5">D18*$G$18+D19*$G$19</f>
        <v>1507.9866019780598</v>
      </c>
      <c r="E20" s="389">
        <f t="shared" si="5"/>
        <v>2266.1137694982685</v>
      </c>
    </row>
    <row r="22" spans="2:7" x14ac:dyDescent="0.25">
      <c r="B22" t="s">
        <v>373</v>
      </c>
      <c r="C22" s="241">
        <f>Cover!D11</f>
        <v>1575.8</v>
      </c>
      <c r="D22" s="241">
        <f>C22</f>
        <v>1575.8</v>
      </c>
      <c r="E22" s="241">
        <f>D22</f>
        <v>1575.8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795E-1369-4E78-AEDE-89D6CF28B286}">
  <dimension ref="A1:O101"/>
  <sheetViews>
    <sheetView showGridLines="0" zoomScale="90" workbookViewId="0">
      <pane xSplit="3" ySplit="2" topLeftCell="H56" activePane="bottomRight" state="frozen"/>
      <selection pane="topRight" activeCell="D1" sqref="D1"/>
      <selection pane="bottomLeft" activeCell="A3" sqref="A3"/>
      <selection pane="bottomRight" activeCell="O67" sqref="O67"/>
    </sheetView>
  </sheetViews>
  <sheetFormatPr defaultRowHeight="13.2" x14ac:dyDescent="0.25"/>
  <cols>
    <col min="1" max="1" width="3" style="63" customWidth="1"/>
    <col min="2" max="2" width="3" customWidth="1"/>
    <col min="3" max="3" width="45.77734375" customWidth="1"/>
    <col min="4" max="4" width="10.5546875" customWidth="1"/>
    <col min="5" max="13" width="14.109375" customWidth="1"/>
    <col min="14" max="14" width="8.88671875" style="71"/>
  </cols>
  <sheetData>
    <row r="1" spans="1:13" x14ac:dyDescent="0.25">
      <c r="A1" s="62"/>
      <c r="B1" s="2"/>
      <c r="C1" s="57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102" t="s">
        <v>33</v>
      </c>
      <c r="B2" s="2"/>
      <c r="C2" s="57"/>
      <c r="D2" s="1" t="s">
        <v>58</v>
      </c>
      <c r="E2" s="4">
        <v>45016</v>
      </c>
      <c r="F2" s="5">
        <f>EOMONTH(E2,12)</f>
        <v>45382</v>
      </c>
      <c r="G2" s="5">
        <f t="shared" ref="G2:M2" si="0">EOMONTH(F2,12)</f>
        <v>45747</v>
      </c>
      <c r="H2" s="21">
        <f t="shared" si="0"/>
        <v>46112</v>
      </c>
      <c r="I2" s="6">
        <f t="shared" si="0"/>
        <v>46477</v>
      </c>
      <c r="J2" s="6">
        <f t="shared" si="0"/>
        <v>46843</v>
      </c>
      <c r="K2" s="6">
        <f t="shared" si="0"/>
        <v>47208</v>
      </c>
      <c r="L2" s="6">
        <f t="shared" si="0"/>
        <v>47573</v>
      </c>
      <c r="M2" s="6">
        <f t="shared" si="0"/>
        <v>47938</v>
      </c>
    </row>
    <row r="4" spans="1:13" x14ac:dyDescent="0.25">
      <c r="B4" s="78" t="s">
        <v>85</v>
      </c>
      <c r="C4" s="76"/>
    </row>
    <row r="6" spans="1:13" x14ac:dyDescent="0.25">
      <c r="A6" s="70" t="s">
        <v>72</v>
      </c>
      <c r="B6" s="1" t="s">
        <v>68</v>
      </c>
    </row>
    <row r="8" spans="1:13" x14ac:dyDescent="0.25">
      <c r="B8" t="str">
        <f>IS!B5</f>
        <v>Sale of Products</v>
      </c>
      <c r="E8" s="49">
        <f>IS!E5</f>
        <v>4213.16</v>
      </c>
      <c r="F8" s="49">
        <f>IS!F5</f>
        <v>4479.96</v>
      </c>
      <c r="G8" s="49">
        <f>IS!G5</f>
        <v>4266.12</v>
      </c>
      <c r="H8" s="49">
        <f>IS!H5</f>
        <v>4914.0228127476612</v>
      </c>
      <c r="I8" s="49">
        <f t="shared" ref="I8:J10" si="1">I21*I$11</f>
        <v>5743.1546304600015</v>
      </c>
      <c r="J8" s="49">
        <f t="shared" si="1"/>
        <v>6679.381880746927</v>
      </c>
      <c r="K8" s="49">
        <f t="shared" ref="K8" si="2">K21*K$11</f>
        <v>7529.2093938348598</v>
      </c>
      <c r="L8" s="49">
        <f t="shared" ref="L8:M8" si="3">L21*L$11</f>
        <v>8527.6931580134278</v>
      </c>
      <c r="M8" s="49">
        <f t="shared" si="3"/>
        <v>9704.4905874182659</v>
      </c>
    </row>
    <row r="9" spans="1:13" x14ac:dyDescent="0.25">
      <c r="B9" t="str">
        <f>IS!B6</f>
        <v>Sale of Services</v>
      </c>
      <c r="E9" s="49">
        <f>IS!E6</f>
        <v>29.9</v>
      </c>
      <c r="F9" s="49">
        <f>IS!F6</f>
        <v>102.66</v>
      </c>
      <c r="G9" s="49">
        <f>IS!G6</f>
        <v>137.91999999999999</v>
      </c>
      <c r="H9" s="49">
        <f>IS!H6</f>
        <v>158.86614214653065</v>
      </c>
      <c r="I9" s="49">
        <f t="shared" si="1"/>
        <v>231.00957172800003</v>
      </c>
      <c r="J9" s="49">
        <f t="shared" si="1"/>
        <v>315.20678538356287</v>
      </c>
      <c r="K9" s="49">
        <f>K22*K$11</f>
        <v>408.36389932663644</v>
      </c>
      <c r="L9" s="49">
        <f t="shared" ref="L9:M9" si="4">L22*L$11</f>
        <v>523.29026196900588</v>
      </c>
      <c r="M9" s="49">
        <f t="shared" si="4"/>
        <v>665.45078313725242</v>
      </c>
    </row>
    <row r="10" spans="1:13" x14ac:dyDescent="0.25">
      <c r="B10" t="str">
        <f>IS!B7</f>
        <v>Other operating revenues</v>
      </c>
      <c r="E10" s="49">
        <f>IS!E7</f>
        <v>408.09</v>
      </c>
      <c r="F10" s="49">
        <f>IS!F7</f>
        <v>394.68</v>
      </c>
      <c r="G10" s="49">
        <f>IS!G7</f>
        <v>340.36</v>
      </c>
      <c r="H10" s="49">
        <f>IS!H7</f>
        <v>392.05104510580901</v>
      </c>
      <c r="I10" s="49">
        <f t="shared" si="1"/>
        <v>442.76834581200012</v>
      </c>
      <c r="J10" s="49">
        <f t="shared" si="1"/>
        <v>510.3347953829113</v>
      </c>
      <c r="K10" s="49">
        <f>K23*K$11</f>
        <v>570.00794281009678</v>
      </c>
      <c r="L10" s="49">
        <f t="shared" ref="L10:M10" si="5">L23*L$11</f>
        <v>639.57698685100718</v>
      </c>
      <c r="M10" s="49">
        <f t="shared" si="5"/>
        <v>720.90501506535691</v>
      </c>
    </row>
    <row r="11" spans="1:13" x14ac:dyDescent="0.25">
      <c r="B11" s="25" t="str">
        <f>IS!B8</f>
        <v>Total Revenue from Operations</v>
      </c>
      <c r="C11" s="22"/>
      <c r="D11" s="22"/>
      <c r="E11" s="33">
        <f>SUM(E8:E10)</f>
        <v>4651.1499999999996</v>
      </c>
      <c r="F11" s="33">
        <f t="shared" ref="F11:H11" si="6">SUM(F8:F10)</f>
        <v>4977.3</v>
      </c>
      <c r="G11" s="33">
        <f t="shared" si="6"/>
        <v>4744.3999999999996</v>
      </c>
      <c r="H11" s="33">
        <f t="shared" si="6"/>
        <v>5464.9400000000005</v>
      </c>
      <c r="I11" s="33">
        <f>H11*(1+I15)</f>
        <v>6416.9325480000016</v>
      </c>
      <c r="J11" s="33">
        <f t="shared" ref="J11:K11" si="7">I11*(1+J15)</f>
        <v>7504.923461513401</v>
      </c>
      <c r="K11" s="33">
        <f t="shared" si="7"/>
        <v>8507.5812359715928</v>
      </c>
      <c r="L11" s="33">
        <f t="shared" ref="L11:M11" si="8">K11*(1+L15)</f>
        <v>9690.5604068334414</v>
      </c>
      <c r="M11" s="33">
        <f t="shared" si="8"/>
        <v>11090.846385620875</v>
      </c>
    </row>
    <row r="13" spans="1:13" x14ac:dyDescent="0.25">
      <c r="B13" t="s">
        <v>69</v>
      </c>
      <c r="D13" t="s">
        <v>55</v>
      </c>
      <c r="F13" s="74">
        <v>7.0122442836717924E-2</v>
      </c>
      <c r="G13" s="74">
        <v>-4.6792437667008302E-2</v>
      </c>
      <c r="H13" s="74">
        <v>0.15187168029677092</v>
      </c>
      <c r="I13" s="74">
        <v>0.14000000000000001</v>
      </c>
      <c r="J13" s="74">
        <v>0.13</v>
      </c>
      <c r="K13" s="74">
        <v>0.09</v>
      </c>
      <c r="L13" s="74">
        <v>0.09</v>
      </c>
      <c r="M13" s="74">
        <v>0.09</v>
      </c>
    </row>
    <row r="14" spans="1:13" x14ac:dyDescent="0.25">
      <c r="B14" t="s">
        <v>70</v>
      </c>
      <c r="D14" t="s">
        <v>55</v>
      </c>
      <c r="F14" s="74">
        <v>0.02</v>
      </c>
      <c r="G14" s="74">
        <v>0.01</v>
      </c>
      <c r="H14" s="74">
        <v>0.03</v>
      </c>
      <c r="I14" s="74">
        <v>0.03</v>
      </c>
      <c r="J14" s="74">
        <v>3.5000000000000003E-2</v>
      </c>
      <c r="K14" s="74">
        <v>0.04</v>
      </c>
      <c r="L14" s="74">
        <v>4.4999999999999998E-2</v>
      </c>
      <c r="M14" s="74">
        <v>0.05</v>
      </c>
    </row>
    <row r="15" spans="1:13" x14ac:dyDescent="0.25">
      <c r="B15" s="25" t="s">
        <v>71</v>
      </c>
      <c r="C15" s="25"/>
      <c r="D15" s="22" t="s">
        <v>55</v>
      </c>
      <c r="E15" s="22"/>
      <c r="F15" s="69">
        <f>(1+F13)*(1+F14)-1</f>
        <v>9.1524891693452348E-2</v>
      </c>
      <c r="G15" s="69">
        <f t="shared" ref="G15:M15" si="9">(1+G13)*(1+G14)-1</f>
        <v>-3.7260362043678441E-2</v>
      </c>
      <c r="H15" s="69">
        <f t="shared" si="9"/>
        <v>0.18642783070567415</v>
      </c>
      <c r="I15" s="69">
        <f t="shared" si="9"/>
        <v>0.17420000000000013</v>
      </c>
      <c r="J15" s="69">
        <f t="shared" si="9"/>
        <v>0.16954999999999987</v>
      </c>
      <c r="K15" s="69">
        <f t="shared" si="9"/>
        <v>0.13360000000000016</v>
      </c>
      <c r="L15" s="69">
        <f t="shared" si="9"/>
        <v>0.1390499999999999</v>
      </c>
      <c r="M15" s="69">
        <f t="shared" si="9"/>
        <v>0.14450000000000007</v>
      </c>
    </row>
    <row r="21" spans="1:14" x14ac:dyDescent="0.25">
      <c r="B21" t="s">
        <v>74</v>
      </c>
      <c r="D21" t="s">
        <v>55</v>
      </c>
      <c r="E21" s="65">
        <f>E8/E$11</f>
        <v>0.90583189103770034</v>
      </c>
      <c r="F21" s="65">
        <f t="shared" ref="F21:H21" si="10">F8/F$11</f>
        <v>0.90007835573503703</v>
      </c>
      <c r="G21" s="65">
        <f t="shared" si="10"/>
        <v>0.89919062473653155</v>
      </c>
      <c r="H21" s="65">
        <f t="shared" si="10"/>
        <v>0.89919062473653155</v>
      </c>
      <c r="I21" s="72">
        <v>0.89500000000000002</v>
      </c>
      <c r="J21" s="72">
        <v>0.89</v>
      </c>
      <c r="K21" s="72">
        <v>0.88500000000000001</v>
      </c>
      <c r="L21" s="72">
        <v>0.88</v>
      </c>
      <c r="M21" s="72">
        <v>0.875</v>
      </c>
    </row>
    <row r="22" spans="1:14" x14ac:dyDescent="0.25">
      <c r="B22" t="s">
        <v>75</v>
      </c>
      <c r="D22" t="s">
        <v>55</v>
      </c>
      <c r="E22" s="65">
        <f t="shared" ref="E22:H22" si="11">E9/E$11</f>
        <v>6.4285176784236158E-3</v>
      </c>
      <c r="F22" s="65">
        <f t="shared" si="11"/>
        <v>2.0625640407449821E-2</v>
      </c>
      <c r="G22" s="65">
        <f t="shared" si="11"/>
        <v>2.9070061546243992E-2</v>
      </c>
      <c r="H22" s="65">
        <f t="shared" si="11"/>
        <v>2.9070061546243992E-2</v>
      </c>
      <c r="I22" s="72">
        <v>3.5999999999999997E-2</v>
      </c>
      <c r="J22" s="72">
        <v>4.2000000000000003E-2</v>
      </c>
      <c r="K22" s="72">
        <v>4.8000000000000001E-2</v>
      </c>
      <c r="L22" s="72">
        <v>5.3999999999999999E-2</v>
      </c>
      <c r="M22" s="72">
        <v>0.06</v>
      </c>
    </row>
    <row r="23" spans="1:14" x14ac:dyDescent="0.25">
      <c r="B23" t="s">
        <v>76</v>
      </c>
      <c r="D23" t="s">
        <v>55</v>
      </c>
      <c r="E23" s="65">
        <f t="shared" ref="E23:H23" si="12">E10/E$11</f>
        <v>8.7739591283876026E-2</v>
      </c>
      <c r="F23" s="65">
        <f t="shared" si="12"/>
        <v>7.9296003857513106E-2</v>
      </c>
      <c r="G23" s="65">
        <f t="shared" si="12"/>
        <v>7.1739313717224529E-2</v>
      </c>
      <c r="H23" s="65">
        <f t="shared" si="12"/>
        <v>7.1739313717224515E-2</v>
      </c>
      <c r="I23" s="72">
        <v>6.9000000000000006E-2</v>
      </c>
      <c r="J23" s="72">
        <v>6.8000000000000005E-2</v>
      </c>
      <c r="K23" s="72">
        <v>6.7000000000000004E-2</v>
      </c>
      <c r="L23" s="72">
        <v>6.6000000000000003E-2</v>
      </c>
      <c r="M23" s="72">
        <v>6.5000000000000002E-2</v>
      </c>
    </row>
    <row r="24" spans="1:14" s="88" customFormat="1" x14ac:dyDescent="0.25">
      <c r="A24" s="176"/>
      <c r="N24" s="177"/>
    </row>
    <row r="26" spans="1:14" x14ac:dyDescent="0.25">
      <c r="A26" s="70" t="s">
        <v>77</v>
      </c>
      <c r="B26" s="1" t="s">
        <v>78</v>
      </c>
    </row>
    <row r="28" spans="1:14" x14ac:dyDescent="0.25">
      <c r="B28" s="2" t="s">
        <v>10</v>
      </c>
      <c r="E28" s="49">
        <f>IS!E11</f>
        <v>3478.58</v>
      </c>
      <c r="F28" s="49">
        <f>IS!F11</f>
        <v>3588.29</v>
      </c>
      <c r="G28" s="49">
        <f>IS!G11</f>
        <v>3260.8</v>
      </c>
      <c r="H28" s="49">
        <f>IS!H11</f>
        <v>3740.04</v>
      </c>
      <c r="I28" s="49">
        <f>I33*I$11</f>
        <v>4376.3479977360012</v>
      </c>
      <c r="J28" s="49">
        <f t="shared" ref="J28:M28" si="13">J33*J$11</f>
        <v>5103.3479538291131</v>
      </c>
      <c r="K28" s="49">
        <f t="shared" si="13"/>
        <v>5768.1400779887399</v>
      </c>
      <c r="L28" s="49">
        <f t="shared" si="13"/>
        <v>6550.8188350194068</v>
      </c>
      <c r="M28" s="49">
        <f t="shared" si="13"/>
        <v>7475.2304639084696</v>
      </c>
    </row>
    <row r="29" spans="1:14" x14ac:dyDescent="0.25">
      <c r="B29" s="2" t="s">
        <v>20</v>
      </c>
      <c r="E29" s="49">
        <f>IS!E12</f>
        <v>-53.6</v>
      </c>
      <c r="F29" s="49">
        <f>IS!F12</f>
        <v>19.71</v>
      </c>
      <c r="G29" s="49">
        <f>IS!G12</f>
        <v>50.6</v>
      </c>
      <c r="H29" s="49">
        <f>IS!H12</f>
        <v>-4.3099999999999987</v>
      </c>
      <c r="I29" s="49">
        <v>10</v>
      </c>
      <c r="J29" s="49">
        <v>12</v>
      </c>
      <c r="K29" s="49">
        <v>14</v>
      </c>
      <c r="L29" s="49">
        <v>15</v>
      </c>
      <c r="M29" s="49">
        <v>16</v>
      </c>
    </row>
    <row r="30" spans="1:14" x14ac:dyDescent="0.25">
      <c r="B30" t="s">
        <v>5</v>
      </c>
      <c r="E30" s="49">
        <f>IS!E13</f>
        <v>445.9</v>
      </c>
      <c r="F30" s="49">
        <f>IS!F13</f>
        <v>512.99</v>
      </c>
      <c r="G30" s="49">
        <f>IS!G13</f>
        <v>507.06</v>
      </c>
      <c r="H30" s="49">
        <f>IS!H13</f>
        <v>591.06000000000006</v>
      </c>
      <c r="I30" s="49">
        <f>I34*I$11</f>
        <v>693.02871518400013</v>
      </c>
      <c r="J30" s="49">
        <f t="shared" ref="J30:M30" si="14">J34*J$11</f>
        <v>818.03665730496073</v>
      </c>
      <c r="K30" s="49">
        <f t="shared" si="14"/>
        <v>927.32635472090362</v>
      </c>
      <c r="L30" s="49">
        <f t="shared" si="14"/>
        <v>1065.9616447516785</v>
      </c>
      <c r="M30" s="49">
        <f t="shared" si="14"/>
        <v>1219.9931024182963</v>
      </c>
    </row>
    <row r="31" spans="1:14" x14ac:dyDescent="0.25">
      <c r="B31" t="s">
        <v>6</v>
      </c>
      <c r="E31" s="49">
        <f>IS!E14</f>
        <v>561.79</v>
      </c>
      <c r="F31" s="49">
        <f>IS!F14</f>
        <v>590.44000000000005</v>
      </c>
      <c r="G31" s="49">
        <f>IS!G14</f>
        <v>573.45000000000005</v>
      </c>
      <c r="H31" s="49">
        <f>IS!H14</f>
        <v>725.33</v>
      </c>
      <c r="I31" s="49">
        <f t="shared" ref="I31:M31" si="15">I35*I$11</f>
        <v>821.36736614400024</v>
      </c>
      <c r="J31" s="49">
        <f t="shared" si="15"/>
        <v>945.62035615068851</v>
      </c>
      <c r="K31" s="49">
        <f t="shared" si="15"/>
        <v>1054.9400732604774</v>
      </c>
      <c r="L31" s="49">
        <f t="shared" si="15"/>
        <v>1182.2483696336799</v>
      </c>
      <c r="M31" s="49">
        <f t="shared" si="15"/>
        <v>1330.9015662745048</v>
      </c>
    </row>
    <row r="33" spans="1:14" x14ac:dyDescent="0.25">
      <c r="B33" t="s">
        <v>79</v>
      </c>
      <c r="D33" t="s">
        <v>55</v>
      </c>
      <c r="E33" s="65">
        <f>E28/E$11</f>
        <v>0.74789675671608102</v>
      </c>
      <c r="F33" s="65">
        <f t="shared" ref="F33:H33" si="16">F28/F$11</f>
        <v>0.72093102686195321</v>
      </c>
      <c r="G33" s="65">
        <f t="shared" si="16"/>
        <v>0.68729449456201008</v>
      </c>
      <c r="H33" s="65">
        <f t="shared" si="16"/>
        <v>0.68436981924778673</v>
      </c>
      <c r="I33" s="72">
        <v>0.68200000000000005</v>
      </c>
      <c r="J33" s="72">
        <v>0.68</v>
      </c>
      <c r="K33" s="72">
        <v>0.67800000000000005</v>
      </c>
      <c r="L33" s="72">
        <v>0.67600000000000005</v>
      </c>
      <c r="M33" s="72">
        <v>0.67400000000000004</v>
      </c>
    </row>
    <row r="34" spans="1:14" x14ac:dyDescent="0.25">
      <c r="B34" t="s">
        <v>80</v>
      </c>
      <c r="D34" t="s">
        <v>55</v>
      </c>
      <c r="E34" s="65">
        <f t="shared" ref="E34:H34" si="17">E30/E$11</f>
        <v>9.5868763639100005E-2</v>
      </c>
      <c r="F34" s="65">
        <f t="shared" si="17"/>
        <v>0.1030659192735017</v>
      </c>
      <c r="G34" s="65">
        <f t="shared" si="17"/>
        <v>0.10687547424331845</v>
      </c>
      <c r="H34" s="65">
        <f t="shared" si="17"/>
        <v>0.10815489282590476</v>
      </c>
      <c r="I34" s="72">
        <v>0.108</v>
      </c>
      <c r="J34" s="72">
        <v>0.109</v>
      </c>
      <c r="K34" s="72">
        <v>0.109</v>
      </c>
      <c r="L34" s="72">
        <v>0.11</v>
      </c>
      <c r="M34" s="72">
        <v>0.11</v>
      </c>
    </row>
    <row r="35" spans="1:14" x14ac:dyDescent="0.25">
      <c r="B35" t="s">
        <v>81</v>
      </c>
      <c r="D35" t="s">
        <v>55</v>
      </c>
      <c r="E35" s="65">
        <f t="shared" ref="E35:H35" si="18">E31/E$11</f>
        <v>0.12078518215925094</v>
      </c>
      <c r="F35" s="65">
        <f t="shared" si="18"/>
        <v>0.11862656460329898</v>
      </c>
      <c r="G35" s="65">
        <f t="shared" si="18"/>
        <v>0.1208688137593795</v>
      </c>
      <c r="H35" s="65">
        <f t="shared" si="18"/>
        <v>0.13272423850948042</v>
      </c>
      <c r="I35" s="72">
        <v>0.128</v>
      </c>
      <c r="J35" s="72">
        <v>0.126</v>
      </c>
      <c r="K35" s="72">
        <v>0.124</v>
      </c>
      <c r="L35" s="72">
        <v>0.122</v>
      </c>
      <c r="M35" s="72">
        <v>0.12</v>
      </c>
    </row>
    <row r="37" spans="1:14" x14ac:dyDescent="0.25">
      <c r="B37" s="1" t="s">
        <v>82</v>
      </c>
      <c r="C37" s="1"/>
      <c r="D37" t="s">
        <v>55</v>
      </c>
      <c r="E37" s="80">
        <f>IS!E26/IS!E25</f>
        <v>0.21793760831889211</v>
      </c>
      <c r="F37" s="80">
        <f>IS!F26/IS!F25</f>
        <v>0.21309285237140976</v>
      </c>
      <c r="G37" s="80">
        <f>IS!G26/IS!G25</f>
        <v>0.24654130288784462</v>
      </c>
      <c r="H37" s="80">
        <f>IS!H26/IS!H25</f>
        <v>0.25453729557239646</v>
      </c>
      <c r="I37" s="81">
        <v>0.25169999999999998</v>
      </c>
      <c r="J37" s="81">
        <f>I37</f>
        <v>0.25169999999999998</v>
      </c>
      <c r="K37" s="81">
        <f t="shared" ref="K37:M37" si="19">J37</f>
        <v>0.25169999999999998</v>
      </c>
      <c r="L37" s="81">
        <f t="shared" si="19"/>
        <v>0.25169999999999998</v>
      </c>
      <c r="M37" s="81">
        <f t="shared" si="19"/>
        <v>0.25169999999999998</v>
      </c>
    </row>
    <row r="38" spans="1:14" s="88" customFormat="1" x14ac:dyDescent="0.25">
      <c r="A38" s="176"/>
      <c r="N38" s="177"/>
    </row>
    <row r="40" spans="1:14" x14ac:dyDescent="0.25">
      <c r="A40" s="77"/>
      <c r="B40" s="78" t="s">
        <v>84</v>
      </c>
      <c r="C40" s="79"/>
    </row>
    <row r="41" spans="1:14" x14ac:dyDescent="0.25">
      <c r="B41" s="75"/>
    </row>
    <row r="42" spans="1:14" x14ac:dyDescent="0.25">
      <c r="A42" s="70" t="s">
        <v>83</v>
      </c>
      <c r="B42" s="1" t="s">
        <v>86</v>
      </c>
    </row>
    <row r="44" spans="1:14" x14ac:dyDescent="0.25">
      <c r="B44" t="s">
        <v>92</v>
      </c>
      <c r="E44" s="49">
        <f>SUM(E28:E31)</f>
        <v>4432.67</v>
      </c>
      <c r="F44" s="49">
        <f t="shared" ref="F44:M44" si="20">SUM(F28:F31)</f>
        <v>4711.43</v>
      </c>
      <c r="G44" s="49">
        <f t="shared" si="20"/>
        <v>4391.91</v>
      </c>
      <c r="H44" s="49">
        <f t="shared" si="20"/>
        <v>5052.12</v>
      </c>
      <c r="I44" s="49">
        <f t="shared" si="20"/>
        <v>5900.7440790640012</v>
      </c>
      <c r="J44" s="49">
        <f t="shared" si="20"/>
        <v>6879.0049672847617</v>
      </c>
      <c r="K44" s="49">
        <f t="shared" si="20"/>
        <v>7764.4065059701206</v>
      </c>
      <c r="L44" s="49">
        <f t="shared" si="20"/>
        <v>8814.0288494047654</v>
      </c>
      <c r="M44" s="49">
        <f t="shared" si="20"/>
        <v>10042.12513260127</v>
      </c>
    </row>
    <row r="46" spans="1:14" x14ac:dyDescent="0.25">
      <c r="B46" t="s">
        <v>87</v>
      </c>
      <c r="D46" t="s">
        <v>91</v>
      </c>
      <c r="E46" s="49">
        <f>BS!F10/E11*365</f>
        <v>56.999688249142693</v>
      </c>
      <c r="F46" s="49">
        <f>BS!G10/F11*365</f>
        <v>58.726478211078295</v>
      </c>
      <c r="G46" s="49">
        <f>BS!H10/G11*365</f>
        <v>62.907185313211372</v>
      </c>
      <c r="H46" s="49">
        <f>BS!I10/H11*365</f>
        <v>64.581000000000017</v>
      </c>
      <c r="I46" s="82">
        <v>55</v>
      </c>
      <c r="J46" s="82">
        <v>56</v>
      </c>
      <c r="K46" s="82">
        <v>54</v>
      </c>
      <c r="L46" s="82">
        <v>57</v>
      </c>
      <c r="M46" s="82">
        <v>60</v>
      </c>
    </row>
    <row r="47" spans="1:14" x14ac:dyDescent="0.25">
      <c r="B47" t="s">
        <v>88</v>
      </c>
      <c r="D47" t="s">
        <v>91</v>
      </c>
      <c r="E47" s="49">
        <f>BS!F11/Assumptions!E44*365</f>
        <v>72.667827742647205</v>
      </c>
      <c r="F47" s="49">
        <f>BS!G11/Assumptions!F44*365</f>
        <v>59.577654767236268</v>
      </c>
      <c r="G47" s="49">
        <f>BS!H11/Assumptions!G44*365</f>
        <v>62.033818999023204</v>
      </c>
      <c r="H47" s="49">
        <f>BS!I11/Assumptions!H44*365</f>
        <v>64.238562098390389</v>
      </c>
      <c r="I47" s="82">
        <v>55</v>
      </c>
      <c r="J47" s="82">
        <v>54</v>
      </c>
      <c r="K47" s="82">
        <v>57</v>
      </c>
      <c r="L47" s="82">
        <v>55</v>
      </c>
      <c r="M47" s="82">
        <v>56</v>
      </c>
    </row>
    <row r="48" spans="1:14" x14ac:dyDescent="0.25">
      <c r="B48" t="s">
        <v>89</v>
      </c>
      <c r="D48" t="s">
        <v>91</v>
      </c>
      <c r="E48" s="49">
        <f>BS!E32/E44*365</f>
        <v>95.89435938159167</v>
      </c>
      <c r="F48" s="49">
        <f>BS!F32/F44*365</f>
        <v>92.73841487616285</v>
      </c>
      <c r="G48" s="49">
        <f>BS!G32/G44*365</f>
        <v>101.49817505367824</v>
      </c>
      <c r="H48" s="49">
        <f>BS!H32/H44*365</f>
        <v>96.679354409633987</v>
      </c>
      <c r="I48" s="82">
        <v>97</v>
      </c>
      <c r="J48" s="82">
        <v>97</v>
      </c>
      <c r="K48" s="82">
        <v>97</v>
      </c>
      <c r="L48" s="82">
        <v>97</v>
      </c>
      <c r="M48" s="82">
        <v>97</v>
      </c>
    </row>
    <row r="49" spans="1:14" x14ac:dyDescent="0.25">
      <c r="B49" t="s">
        <v>90</v>
      </c>
      <c r="D49" t="s">
        <v>55</v>
      </c>
      <c r="E49" s="65">
        <f>BS!E12/E11</f>
        <v>3.383894305709341E-2</v>
      </c>
      <c r="F49" s="65">
        <f>BS!F12/F11</f>
        <v>3.4872320334317808E-2</v>
      </c>
      <c r="G49" s="65">
        <f>BS!G12/G11</f>
        <v>3.6114155636118375E-2</v>
      </c>
      <c r="H49" s="65">
        <f>BS!H12/H11</f>
        <v>4.3184371649094042E-2</v>
      </c>
      <c r="I49" s="72">
        <v>0.04</v>
      </c>
      <c r="J49" s="72">
        <v>3.7999999999999999E-2</v>
      </c>
      <c r="K49" s="72">
        <v>3.5999999999999997E-2</v>
      </c>
      <c r="L49" s="72">
        <v>3.5000000000000003E-2</v>
      </c>
      <c r="M49" s="72">
        <v>3.4000000000000002E-2</v>
      </c>
    </row>
    <row r="50" spans="1:14" s="88" customFormat="1" x14ac:dyDescent="0.25">
      <c r="A50" s="176"/>
      <c r="N50" s="177"/>
    </row>
    <row r="52" spans="1:14" x14ac:dyDescent="0.25">
      <c r="A52" s="70" t="s">
        <v>106</v>
      </c>
      <c r="B52" s="1" t="s">
        <v>107</v>
      </c>
    </row>
    <row r="54" spans="1:14" x14ac:dyDescent="0.25">
      <c r="B54" t="s">
        <v>109</v>
      </c>
      <c r="E54" s="49">
        <f>-CF!E26</f>
        <v>151.27000000000001</v>
      </c>
      <c r="F54" s="49">
        <f>-CF!F26</f>
        <v>150.28</v>
      </c>
      <c r="G54" s="49">
        <f>-CF!G26</f>
        <v>209.26</v>
      </c>
      <c r="H54" s="49">
        <f>-CF!H26</f>
        <v>276.77999999999997</v>
      </c>
      <c r="I54" s="86">
        <v>300</v>
      </c>
      <c r="J54" s="86">
        <v>130</v>
      </c>
      <c r="K54" s="86">
        <v>105</v>
      </c>
      <c r="L54" s="86">
        <v>55</v>
      </c>
      <c r="M54" s="86">
        <v>0</v>
      </c>
    </row>
    <row r="55" spans="1:14" x14ac:dyDescent="0.25">
      <c r="B55" t="s">
        <v>108</v>
      </c>
      <c r="E55" s="73">
        <v>25</v>
      </c>
      <c r="F55">
        <f>E55</f>
        <v>25</v>
      </c>
      <c r="G55">
        <f t="shared" ref="G55:M55" si="21">F55</f>
        <v>25</v>
      </c>
      <c r="H55">
        <f t="shared" si="21"/>
        <v>25</v>
      </c>
      <c r="I55">
        <f t="shared" si="21"/>
        <v>25</v>
      </c>
      <c r="J55">
        <f t="shared" si="21"/>
        <v>25</v>
      </c>
      <c r="K55">
        <f t="shared" si="21"/>
        <v>25</v>
      </c>
      <c r="L55">
        <f t="shared" si="21"/>
        <v>25</v>
      </c>
      <c r="M55">
        <f t="shared" si="21"/>
        <v>25</v>
      </c>
    </row>
    <row r="56" spans="1:14" x14ac:dyDescent="0.25">
      <c r="B56" t="s">
        <v>97</v>
      </c>
      <c r="E56" s="85">
        <f>CF!E24</f>
        <v>1.6</v>
      </c>
      <c r="F56" s="85">
        <f>CF!F24</f>
        <v>0.18</v>
      </c>
      <c r="G56" s="85">
        <f>CF!G24</f>
        <v>1.25</v>
      </c>
      <c r="H56" s="85">
        <f>CF!H24</f>
        <v>2.42</v>
      </c>
      <c r="I56" s="85">
        <f>AVERAGE(E56:H56)</f>
        <v>1.3625</v>
      </c>
      <c r="J56" s="85">
        <f t="shared" ref="J56:M56" si="22">AVERAGE(F56:I56)</f>
        <v>1.3031249999999999</v>
      </c>
      <c r="K56" s="85">
        <f t="shared" si="22"/>
        <v>1.5839062499999998</v>
      </c>
      <c r="L56" s="85">
        <f t="shared" si="22"/>
        <v>1.6673828124999999</v>
      </c>
      <c r="M56" s="85">
        <f t="shared" si="22"/>
        <v>1.4792285156249998</v>
      </c>
    </row>
    <row r="58" spans="1:14" x14ac:dyDescent="0.25">
      <c r="B58" t="s">
        <v>112</v>
      </c>
      <c r="D58" t="s">
        <v>55</v>
      </c>
      <c r="E58" s="65">
        <f>BS!E21/E11</f>
        <v>6.9144190146522904E-3</v>
      </c>
      <c r="F58" s="65">
        <f>BS!F21/F11</f>
        <v>1.1544411628794727E-2</v>
      </c>
      <c r="G58" s="65">
        <f>BS!G21/G11</f>
        <v>1.0625158081106147E-2</v>
      </c>
      <c r="H58" s="65">
        <f>BS!H21/H11</f>
        <v>1.037888796583311E-2</v>
      </c>
      <c r="I58" s="72">
        <v>8.9999999999999993E-3</v>
      </c>
      <c r="J58" s="72">
        <v>8.9999999999999993E-3</v>
      </c>
      <c r="K58" s="72">
        <v>8.9999999999999993E-3</v>
      </c>
      <c r="L58" s="72">
        <v>8.9999999999999993E-3</v>
      </c>
      <c r="M58" s="72">
        <v>8.9999999999999993E-3</v>
      </c>
    </row>
    <row r="59" spans="1:14" s="88" customFormat="1" x14ac:dyDescent="0.25">
      <c r="A59" s="176"/>
      <c r="N59" s="177"/>
    </row>
    <row r="61" spans="1:14" x14ac:dyDescent="0.25">
      <c r="A61" s="70" t="s">
        <v>114</v>
      </c>
      <c r="B61" s="1" t="s">
        <v>127</v>
      </c>
    </row>
    <row r="62" spans="1:14" x14ac:dyDescent="0.25">
      <c r="A62" s="70"/>
      <c r="B62" s="1"/>
    </row>
    <row r="63" spans="1:14" x14ac:dyDescent="0.25">
      <c r="B63" t="s">
        <v>118</v>
      </c>
      <c r="D63" t="s">
        <v>55</v>
      </c>
      <c r="E63" s="72">
        <v>7.8E-2</v>
      </c>
      <c r="F63" s="278">
        <f>E63*(1+I37)</f>
        <v>9.76326E-2</v>
      </c>
    </row>
    <row r="64" spans="1:14" x14ac:dyDescent="0.25">
      <c r="B64" t="s">
        <v>113</v>
      </c>
      <c r="D64" s="120" t="s">
        <v>111</v>
      </c>
      <c r="E64" s="49">
        <f>BS!E38</f>
        <v>203.25</v>
      </c>
      <c r="F64" s="49">
        <f>BS!F38</f>
        <v>287.55</v>
      </c>
      <c r="G64" s="49">
        <f>BS!G38</f>
        <v>302.98</v>
      </c>
      <c r="H64" s="49">
        <f>BS!H38</f>
        <v>257.29000000000002</v>
      </c>
      <c r="I64" s="49">
        <f>'Debt Schedule'!I18</f>
        <v>248.64500000000001</v>
      </c>
      <c r="J64" s="49">
        <f>'Debt Schedule'!J18</f>
        <v>241.82307499999999</v>
      </c>
      <c r="K64" s="49">
        <f>'Debt Schedule'!K18</f>
        <v>239.17487600000004</v>
      </c>
      <c r="L64" s="49">
        <f>'Debt Schedule'!L18</f>
        <v>225.84164677250001</v>
      </c>
      <c r="M64" s="49">
        <f>'Debt Schedule'!M18</f>
        <v>203.70772847895003</v>
      </c>
    </row>
    <row r="65" spans="1:15" x14ac:dyDescent="0.25">
      <c r="E65" s="49"/>
      <c r="F65" s="49"/>
      <c r="G65" s="49"/>
      <c r="H65" s="49"/>
      <c r="I65" s="49"/>
      <c r="J65" s="49"/>
      <c r="K65" s="49"/>
      <c r="L65" s="49"/>
      <c r="M65" s="49"/>
    </row>
    <row r="66" spans="1:15" x14ac:dyDescent="0.25">
      <c r="B66" s="27" t="s">
        <v>121</v>
      </c>
      <c r="C66" s="20"/>
      <c r="E66" s="49"/>
      <c r="F66" s="49"/>
      <c r="G66" s="49"/>
      <c r="H66" s="49"/>
      <c r="I66" s="49"/>
      <c r="J66" s="49"/>
      <c r="K66" s="49"/>
      <c r="L66" s="49"/>
      <c r="M66" s="49"/>
    </row>
    <row r="67" spans="1:15" x14ac:dyDescent="0.25">
      <c r="B67" s="20"/>
      <c r="C67" t="s">
        <v>123</v>
      </c>
      <c r="D67" s="120" t="s">
        <v>111</v>
      </c>
      <c r="E67" s="49">
        <f>CF!E33</f>
        <v>-25.11</v>
      </c>
      <c r="F67" s="49">
        <f>CF!F33</f>
        <v>11.53</v>
      </c>
      <c r="G67" s="49">
        <f>CF!G33</f>
        <v>-115.73</v>
      </c>
      <c r="H67" s="49">
        <f>CF!H33</f>
        <v>19.059999999999999</v>
      </c>
      <c r="I67" s="82">
        <v>-10.044535481148239</v>
      </c>
      <c r="J67" s="82">
        <v>-8.4304069786698204</v>
      </c>
      <c r="K67" s="82">
        <v>43.267261913582637</v>
      </c>
      <c r="L67" s="82">
        <v>40.163285831828588</v>
      </c>
      <c r="M67" s="82">
        <v>68.98579115569396</v>
      </c>
      <c r="O67" t="s">
        <v>374</v>
      </c>
    </row>
    <row r="68" spans="1:15" x14ac:dyDescent="0.25">
      <c r="B68" s="20"/>
      <c r="C68" s="20" t="s">
        <v>122</v>
      </c>
      <c r="D68" s="120" t="s">
        <v>111</v>
      </c>
      <c r="E68" s="82">
        <v>101.8</v>
      </c>
      <c r="F68" s="82">
        <v>117.86</v>
      </c>
      <c r="G68" s="82">
        <v>172.36</v>
      </c>
      <c r="H68" s="82">
        <v>107.09</v>
      </c>
      <c r="I68" s="49">
        <f>I69*'Asset Schedule'!I9</f>
        <v>120</v>
      </c>
      <c r="J68" s="49">
        <f>J69*'Asset Schedule'!J9</f>
        <v>129.93282500000001</v>
      </c>
      <c r="K68" s="49">
        <f>K69*'Asset Schedule'!K9</f>
        <v>142.44564600000001</v>
      </c>
      <c r="L68" s="49">
        <f>L69*'Asset Schedule'!L9</f>
        <v>142.13044017250002</v>
      </c>
      <c r="M68" s="49">
        <f>M69*'Asset Schedule'!M9</f>
        <v>135.95523444720001</v>
      </c>
    </row>
    <row r="69" spans="1:15" x14ac:dyDescent="0.25">
      <c r="C69" s="117" t="s">
        <v>128</v>
      </c>
      <c r="D69" t="s">
        <v>55</v>
      </c>
      <c r="E69" s="110">
        <f>E68/'Asset Schedule'!E9</f>
        <v>0.67296886362133923</v>
      </c>
      <c r="F69" s="110">
        <f>F68/'Asset Schedule'!F9</f>
        <v>0.78426936385413892</v>
      </c>
      <c r="G69" s="110">
        <f>G68/'Asset Schedule'!G9</f>
        <v>0.82366434101118235</v>
      </c>
      <c r="H69" s="110">
        <f>H68/'Asset Schedule'!H9</f>
        <v>0.38691379434930273</v>
      </c>
      <c r="I69" s="121">
        <v>0.4</v>
      </c>
      <c r="J69" s="121">
        <v>0.44</v>
      </c>
      <c r="K69" s="121">
        <v>0.48</v>
      </c>
      <c r="L69" s="121">
        <v>0.52</v>
      </c>
      <c r="M69" s="121">
        <v>0.56000000000000005</v>
      </c>
    </row>
    <row r="70" spans="1:15" x14ac:dyDescent="0.25">
      <c r="C70" s="117"/>
      <c r="E70" s="49"/>
      <c r="F70" s="49"/>
      <c r="G70" s="49"/>
      <c r="H70" s="49"/>
      <c r="I70" s="49"/>
      <c r="J70" s="49"/>
      <c r="K70" s="49"/>
      <c r="L70" s="49"/>
      <c r="M70" s="49"/>
    </row>
    <row r="71" spans="1:15" x14ac:dyDescent="0.25">
      <c r="B71" s="27" t="s">
        <v>124</v>
      </c>
      <c r="C71" s="20"/>
      <c r="E71" s="49"/>
      <c r="F71" s="49"/>
      <c r="G71" s="49"/>
      <c r="H71" s="49"/>
      <c r="I71" s="49"/>
      <c r="J71" s="49"/>
      <c r="K71" s="49"/>
      <c r="L71" s="49"/>
      <c r="M71" s="49"/>
    </row>
    <row r="72" spans="1:15" x14ac:dyDescent="0.25">
      <c r="B72" s="20"/>
      <c r="C72" s="20" t="s">
        <v>125</v>
      </c>
      <c r="D72" s="120" t="s">
        <v>111</v>
      </c>
      <c r="E72" s="82">
        <v>0</v>
      </c>
      <c r="F72" s="82">
        <v>0</v>
      </c>
      <c r="G72" s="82">
        <v>0</v>
      </c>
      <c r="H72" s="82">
        <v>0</v>
      </c>
      <c r="I72" s="82">
        <v>0</v>
      </c>
      <c r="J72" s="82">
        <v>0</v>
      </c>
      <c r="K72" s="82">
        <v>0</v>
      </c>
      <c r="L72" s="82">
        <v>0</v>
      </c>
      <c r="M72" s="82">
        <v>0</v>
      </c>
    </row>
    <row r="73" spans="1:15" x14ac:dyDescent="0.25">
      <c r="B73" s="20"/>
      <c r="C73" s="20" t="s">
        <v>126</v>
      </c>
      <c r="D73" s="120" t="s">
        <v>111</v>
      </c>
      <c r="E73" s="82">
        <v>-147.44999999999999</v>
      </c>
      <c r="F73" s="82">
        <v>-135.34</v>
      </c>
      <c r="G73" s="82">
        <v>-91</v>
      </c>
      <c r="H73" s="82">
        <v>-134.04</v>
      </c>
      <c r="I73" s="49">
        <f>-I74*H64</f>
        <v>-128.64500000000001</v>
      </c>
      <c r="J73" s="49">
        <f>-J74*I64</f>
        <v>-136.75475000000003</v>
      </c>
      <c r="K73" s="49">
        <f>-K74*J64</f>
        <v>-145.09384499999999</v>
      </c>
      <c r="L73" s="49">
        <f>-L74*K64</f>
        <v>-155.46366940000004</v>
      </c>
      <c r="M73" s="49">
        <f>-M74*L64</f>
        <v>-158.08915274075</v>
      </c>
    </row>
    <row r="74" spans="1:15" x14ac:dyDescent="0.25">
      <c r="C74" s="117" t="s">
        <v>129</v>
      </c>
      <c r="E74" s="110"/>
      <c r="F74" s="110">
        <f>-F73/E64</f>
        <v>0.66587945879458799</v>
      </c>
      <c r="G74" s="110">
        <f>-G73/F64</f>
        <v>0.31646670144322725</v>
      </c>
      <c r="H74" s="110">
        <f>-H73/G64</f>
        <v>0.44240543930292425</v>
      </c>
      <c r="I74" s="110">
        <v>0.5</v>
      </c>
      <c r="J74" s="110">
        <v>0.55000000000000004</v>
      </c>
      <c r="K74" s="110">
        <v>0.6</v>
      </c>
      <c r="L74" s="110">
        <v>0.65</v>
      </c>
      <c r="M74" s="110">
        <v>0.7</v>
      </c>
    </row>
    <row r="75" spans="1:15" x14ac:dyDescent="0.25">
      <c r="E75" s="49"/>
      <c r="F75" s="49"/>
      <c r="G75" s="49"/>
      <c r="H75" s="49"/>
      <c r="I75" s="49"/>
      <c r="J75" s="49"/>
      <c r="K75" s="49"/>
      <c r="L75" s="49"/>
      <c r="M75" s="49"/>
    </row>
    <row r="76" spans="1:15" x14ac:dyDescent="0.25">
      <c r="B76" s="1" t="s">
        <v>35</v>
      </c>
      <c r="E76" s="49"/>
      <c r="F76" s="49"/>
      <c r="G76" s="49"/>
      <c r="H76" s="49"/>
      <c r="I76" s="49"/>
      <c r="J76" s="49"/>
      <c r="K76" s="49"/>
      <c r="L76" s="49"/>
      <c r="M76" s="49"/>
    </row>
    <row r="77" spans="1:15" x14ac:dyDescent="0.25">
      <c r="C77" t="s">
        <v>130</v>
      </c>
      <c r="D77" s="120" t="s">
        <v>111</v>
      </c>
      <c r="E77" s="49">
        <f>-CF!E32</f>
        <v>9.09</v>
      </c>
      <c r="F77" s="49">
        <f>-CF!F32</f>
        <v>10.19</v>
      </c>
      <c r="G77" s="49">
        <f>-CF!G32</f>
        <v>10.97</v>
      </c>
      <c r="H77" s="49">
        <f>-CF!H32</f>
        <v>18.73</v>
      </c>
      <c r="I77" s="82">
        <v>19</v>
      </c>
      <c r="J77" s="82">
        <v>19</v>
      </c>
      <c r="K77" s="82">
        <v>19</v>
      </c>
      <c r="L77" s="82">
        <v>8.6617336846999962</v>
      </c>
      <c r="M77" s="82">
        <v>0</v>
      </c>
    </row>
    <row r="78" spans="1:15" x14ac:dyDescent="0.25">
      <c r="C78" t="s">
        <v>131</v>
      </c>
      <c r="D78" t="s">
        <v>55</v>
      </c>
      <c r="E78" s="49"/>
      <c r="F78" s="49"/>
      <c r="G78" s="49"/>
      <c r="H78" s="49"/>
      <c r="I78" s="109">
        <v>7.0000000000000007E-2</v>
      </c>
      <c r="J78" s="109">
        <v>7.0000000000000007E-2</v>
      </c>
      <c r="K78" s="109">
        <v>7.0000000000000007E-2</v>
      </c>
      <c r="L78" s="109">
        <v>7.0000000000000007E-2</v>
      </c>
      <c r="M78" s="109">
        <v>7.0000000000000007E-2</v>
      </c>
    </row>
    <row r="79" spans="1:15" s="88" customFormat="1" x14ac:dyDescent="0.25">
      <c r="A79" s="176"/>
      <c r="E79" s="178"/>
      <c r="F79" s="178"/>
      <c r="G79" s="178"/>
      <c r="H79" s="178"/>
      <c r="I79" s="178"/>
      <c r="J79" s="178"/>
      <c r="K79" s="178"/>
      <c r="L79" s="178"/>
      <c r="M79" s="178"/>
      <c r="N79" s="177"/>
    </row>
    <row r="80" spans="1:15" x14ac:dyDescent="0.25">
      <c r="E80" s="49"/>
      <c r="F80" s="49"/>
      <c r="G80" s="49"/>
      <c r="H80" s="49"/>
      <c r="I80" s="49"/>
      <c r="J80" s="49"/>
      <c r="K80" s="49"/>
      <c r="L80" s="49"/>
      <c r="M80" s="49"/>
    </row>
    <row r="81" spans="1:14" x14ac:dyDescent="0.25">
      <c r="B81" t="s">
        <v>132</v>
      </c>
      <c r="E81" s="110">
        <f>BS!E33/E11</f>
        <v>4.9275985508960153E-2</v>
      </c>
      <c r="F81" s="110">
        <f>BS!F33/F11</f>
        <v>4.4544230807867714E-2</v>
      </c>
      <c r="G81" s="110">
        <f>BS!G33/G11</f>
        <v>4.8438158671275613E-2</v>
      </c>
      <c r="H81" s="110">
        <f>BS!H33/H11</f>
        <v>4.9550406774822781E-2</v>
      </c>
      <c r="I81" s="109">
        <v>0.05</v>
      </c>
      <c r="J81" s="109">
        <v>0.05</v>
      </c>
      <c r="K81" s="109">
        <v>0.05</v>
      </c>
      <c r="L81" s="109">
        <v>0.05</v>
      </c>
      <c r="M81" s="109">
        <v>0.05</v>
      </c>
    </row>
    <row r="82" spans="1:14" x14ac:dyDescent="0.25">
      <c r="B82" t="s">
        <v>174</v>
      </c>
      <c r="E82" s="65">
        <f>BS!E39/Assumptions!E11</f>
        <v>1.1457381507799147E-2</v>
      </c>
      <c r="F82" s="65">
        <f>BS!F39/Assumptions!F11</f>
        <v>1.1789524440961967E-2</v>
      </c>
      <c r="G82" s="65">
        <f>BS!G39/Assumptions!G11</f>
        <v>1.436008768232021E-2</v>
      </c>
      <c r="H82" s="65">
        <f>BS!H39/Assumptions!H11</f>
        <v>1.7367070818709814E-2</v>
      </c>
      <c r="I82" s="72">
        <v>1.7999999999999999E-2</v>
      </c>
      <c r="J82" s="72">
        <v>0.02</v>
      </c>
      <c r="K82" s="72">
        <v>2.1999999999999999E-2</v>
      </c>
      <c r="L82" s="72">
        <v>2.4E-2</v>
      </c>
      <c r="M82" s="72">
        <v>2.5999999999999999E-2</v>
      </c>
    </row>
    <row r="83" spans="1:14" x14ac:dyDescent="0.25">
      <c r="B83" t="s">
        <v>133</v>
      </c>
      <c r="E83" s="110">
        <f>-CF!E31/IS!E27</f>
        <v>0.50120036934441758</v>
      </c>
      <c r="F83" s="110">
        <f>-CF!F31/IS!F27</f>
        <v>0.16281833616298841</v>
      </c>
      <c r="G83" s="110">
        <f>-CF!G31/IS!G27</f>
        <v>0.25804438898297588</v>
      </c>
      <c r="H83" s="110">
        <f>-CF!H31/IS!H27</f>
        <v>0.20105678549929679</v>
      </c>
      <c r="I83" s="109">
        <v>0.18</v>
      </c>
      <c r="J83" s="109">
        <v>0.17</v>
      </c>
      <c r="K83" s="109">
        <v>0.16</v>
      </c>
      <c r="L83" s="109">
        <v>0.17</v>
      </c>
      <c r="M83" s="109">
        <v>0.15</v>
      </c>
    </row>
    <row r="84" spans="1:14" x14ac:dyDescent="0.25">
      <c r="E84" s="110"/>
      <c r="F84" s="110"/>
      <c r="G84" s="110"/>
      <c r="H84" s="110"/>
      <c r="I84" s="109"/>
      <c r="J84" s="109"/>
      <c r="K84" s="109"/>
      <c r="L84" s="109"/>
      <c r="M84" s="109"/>
    </row>
    <row r="85" spans="1:14" x14ac:dyDescent="0.25">
      <c r="B85" s="20" t="s">
        <v>176</v>
      </c>
      <c r="D85" s="241">
        <f>BS!H31+BS!H38</f>
        <v>711.65000000000009</v>
      </c>
      <c r="E85" s="110"/>
      <c r="F85" s="110"/>
      <c r="G85" s="110"/>
      <c r="H85" s="110"/>
      <c r="I85" s="109"/>
      <c r="J85" s="109"/>
      <c r="K85" s="109"/>
      <c r="L85" s="109"/>
      <c r="M85" s="109"/>
    </row>
    <row r="86" spans="1:14" x14ac:dyDescent="0.25">
      <c r="B86" s="20" t="s">
        <v>281</v>
      </c>
      <c r="D86" s="173">
        <v>4099</v>
      </c>
      <c r="E86" s="110"/>
      <c r="F86" s="110"/>
      <c r="G86" s="110"/>
      <c r="H86" s="110"/>
      <c r="I86" s="109"/>
      <c r="J86" s="109"/>
      <c r="K86" s="109"/>
      <c r="L86" s="109"/>
      <c r="M86" s="109"/>
    </row>
    <row r="87" spans="1:14" s="88" customFormat="1" x14ac:dyDescent="0.25">
      <c r="A87" s="176"/>
      <c r="E87" s="178"/>
      <c r="F87" s="178"/>
      <c r="G87" s="178"/>
      <c r="H87" s="178"/>
      <c r="I87" s="178"/>
      <c r="J87" s="178"/>
      <c r="K87" s="178"/>
      <c r="L87" s="178"/>
      <c r="M87" s="178"/>
      <c r="N87" s="177"/>
    </row>
    <row r="88" spans="1:14" x14ac:dyDescent="0.25">
      <c r="E88" s="49"/>
      <c r="F88" s="49"/>
      <c r="G88" s="49"/>
      <c r="H88" s="49"/>
      <c r="I88" s="49"/>
      <c r="J88" s="49"/>
      <c r="K88" s="49"/>
      <c r="L88" s="49"/>
      <c r="M88" s="49"/>
    </row>
    <row r="89" spans="1:14" x14ac:dyDescent="0.25">
      <c r="A89" s="27" t="s">
        <v>249</v>
      </c>
      <c r="B89" s="20"/>
      <c r="C89" s="20"/>
      <c r="D89" s="20"/>
      <c r="E89" s="49"/>
      <c r="F89" s="49"/>
      <c r="G89" s="49"/>
      <c r="H89" s="49"/>
      <c r="I89" s="49"/>
      <c r="J89" s="49"/>
      <c r="K89" s="49"/>
      <c r="L89" s="49"/>
      <c r="M89" s="49"/>
    </row>
    <row r="90" spans="1:14" x14ac:dyDescent="0.25">
      <c r="A90" s="20"/>
      <c r="B90" s="20" t="s">
        <v>250</v>
      </c>
      <c r="C90" s="20"/>
      <c r="D90" s="187">
        <v>7.1199999999999999E-2</v>
      </c>
      <c r="E90" s="49"/>
      <c r="F90" s="49"/>
      <c r="G90" s="49"/>
      <c r="H90" s="49"/>
      <c r="I90" s="49"/>
      <c r="J90" s="49"/>
      <c r="K90" s="49"/>
      <c r="L90" s="49"/>
      <c r="M90" s="49"/>
    </row>
    <row r="91" spans="1:14" x14ac:dyDescent="0.25">
      <c r="A91" s="20"/>
      <c r="B91" s="20" t="s">
        <v>251</v>
      </c>
      <c r="C91" s="20"/>
      <c r="D91" s="263">
        <f>'Beta Calculation'!L20</f>
        <v>1.1461268371239253</v>
      </c>
      <c r="E91" s="49"/>
      <c r="F91" s="49"/>
      <c r="G91" s="49"/>
      <c r="H91" s="49"/>
      <c r="I91" s="49"/>
      <c r="J91" s="49"/>
      <c r="K91" s="49"/>
      <c r="L91" s="49"/>
      <c r="M91" s="49"/>
    </row>
    <row r="92" spans="1:14" x14ac:dyDescent="0.25">
      <c r="A92" s="20"/>
      <c r="B92" s="20" t="s">
        <v>252</v>
      </c>
      <c r="C92" s="20"/>
      <c r="D92" s="187">
        <v>0.14199999999999999</v>
      </c>
      <c r="E92" s="49"/>
      <c r="F92" s="49"/>
      <c r="G92" s="49"/>
      <c r="H92" s="49"/>
      <c r="I92" s="49"/>
      <c r="J92" s="49"/>
      <c r="K92" s="49"/>
      <c r="L92" s="49"/>
      <c r="M92" s="49"/>
    </row>
    <row r="93" spans="1:14" x14ac:dyDescent="0.25">
      <c r="A93" s="20"/>
      <c r="B93" s="20" t="s">
        <v>253</v>
      </c>
      <c r="C93" s="20"/>
      <c r="D93" s="264">
        <f>E63</f>
        <v>7.8E-2</v>
      </c>
      <c r="E93" s="49" t="s">
        <v>303</v>
      </c>
      <c r="F93" s="49"/>
      <c r="G93" s="49"/>
      <c r="H93" s="49"/>
      <c r="I93" s="49"/>
      <c r="J93" s="49"/>
      <c r="K93" s="49"/>
      <c r="L93" s="49"/>
      <c r="M93" s="49"/>
    </row>
    <row r="94" spans="1:14" x14ac:dyDescent="0.25">
      <c r="A94" s="20"/>
      <c r="B94" s="20" t="s">
        <v>254</v>
      </c>
      <c r="C94" s="20"/>
      <c r="D94" s="264">
        <f>D85/(D85+D86)</f>
        <v>0.14793219211541062</v>
      </c>
      <c r="E94" s="49"/>
      <c r="F94" s="49"/>
      <c r="G94" s="49"/>
      <c r="H94" s="49"/>
      <c r="I94" s="49"/>
      <c r="J94" s="49"/>
      <c r="K94" s="49"/>
      <c r="L94" s="49"/>
      <c r="M94" s="49"/>
    </row>
    <row r="95" spans="1:14" s="88" customFormat="1" x14ac:dyDescent="0.25">
      <c r="A95" s="26"/>
      <c r="B95" s="26" t="s">
        <v>255</v>
      </c>
      <c r="C95" s="26"/>
      <c r="D95" s="188">
        <v>0.05</v>
      </c>
      <c r="E95" s="178" t="s">
        <v>283</v>
      </c>
      <c r="F95" s="178"/>
      <c r="G95" s="178"/>
      <c r="H95" s="178"/>
      <c r="I95" s="178"/>
      <c r="J95" s="178"/>
      <c r="K95" s="178"/>
      <c r="L95" s="178"/>
      <c r="M95" s="178"/>
      <c r="N95" s="177"/>
    </row>
    <row r="96" spans="1:14" x14ac:dyDescent="0.25">
      <c r="E96" s="49"/>
      <c r="F96" s="49"/>
      <c r="G96" s="49"/>
      <c r="H96" s="49"/>
      <c r="I96" s="49"/>
      <c r="J96" s="49"/>
      <c r="K96" s="49"/>
      <c r="L96" s="49"/>
      <c r="M96" s="49"/>
    </row>
    <row r="97" spans="2:13" x14ac:dyDescent="0.25">
      <c r="B97" s="27" t="s">
        <v>256</v>
      </c>
      <c r="C97" s="20"/>
      <c r="D97" s="265">
        <f>(D90+(D92-D90)*D91)*(1-D94)+D93*D94</f>
        <v>0.14134764584832915</v>
      </c>
      <c r="E97" s="49" t="s">
        <v>282</v>
      </c>
      <c r="F97" s="49"/>
      <c r="G97" s="49"/>
      <c r="H97" s="49"/>
      <c r="I97" s="49"/>
      <c r="J97" s="49"/>
      <c r="K97" s="49"/>
      <c r="L97" s="49"/>
      <c r="M97" s="49"/>
    </row>
    <row r="98" spans="2:13" x14ac:dyDescent="0.25">
      <c r="B98" s="20"/>
      <c r="E98" s="49"/>
      <c r="F98" s="49"/>
      <c r="G98" s="49"/>
      <c r="H98" s="49"/>
      <c r="I98" s="49"/>
      <c r="J98" s="49"/>
      <c r="K98" s="49"/>
      <c r="L98" s="49"/>
      <c r="M98" s="49"/>
    </row>
    <row r="99" spans="2:13" x14ac:dyDescent="0.25">
      <c r="B99" s="142"/>
      <c r="E99" s="49"/>
      <c r="F99" s="49"/>
      <c r="G99" s="49"/>
      <c r="H99" s="49"/>
      <c r="I99" s="49"/>
      <c r="J99" s="49"/>
      <c r="K99" s="49"/>
      <c r="L99" s="49"/>
      <c r="M99" s="49"/>
    </row>
    <row r="100" spans="2:13" x14ac:dyDescent="0.25">
      <c r="B100" s="142"/>
      <c r="E100" s="49"/>
      <c r="F100" s="49"/>
      <c r="G100" s="49"/>
      <c r="H100" s="49"/>
      <c r="I100" s="49"/>
      <c r="J100" s="49"/>
      <c r="K100" s="49"/>
      <c r="L100" s="49"/>
      <c r="M100" s="49"/>
    </row>
    <row r="101" spans="2:13" x14ac:dyDescent="0.25">
      <c r="D101" s="153"/>
      <c r="E101" s="49"/>
      <c r="F101" s="49"/>
      <c r="G101" s="49"/>
      <c r="H101" s="49"/>
      <c r="I101" s="49"/>
      <c r="J101" s="49"/>
      <c r="K101" s="49"/>
      <c r="L101" s="49"/>
      <c r="M101" s="49"/>
    </row>
  </sheetData>
  <pageMargins left="0.7" right="0.7" top="0.75" bottom="0.75" header="0.3" footer="0.3"/>
  <ignoredErrors>
    <ignoredError sqref="I68:M68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C0462-14E5-4F61-91CD-C4062F4B1CA2}">
  <dimension ref="A1:U20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3" sqref="E13"/>
    </sheetView>
  </sheetViews>
  <sheetFormatPr defaultRowHeight="13.2" x14ac:dyDescent="0.25"/>
  <cols>
    <col min="1" max="2" width="3" customWidth="1"/>
    <col min="3" max="3" width="45.77734375" customWidth="1"/>
    <col min="4" max="4" width="10.5546875" customWidth="1"/>
    <col min="5" max="21" width="10.77734375" customWidth="1"/>
  </cols>
  <sheetData>
    <row r="1" spans="1:21" x14ac:dyDescent="0.25">
      <c r="E1" s="401" t="s">
        <v>346</v>
      </c>
      <c r="F1" s="401"/>
      <c r="G1" s="401"/>
      <c r="H1" s="401"/>
      <c r="I1" s="401"/>
      <c r="K1" s="402" t="s">
        <v>347</v>
      </c>
      <c r="L1" s="402"/>
      <c r="M1" s="402"/>
      <c r="N1" s="402"/>
      <c r="O1" s="402"/>
      <c r="Q1" s="403" t="s">
        <v>348</v>
      </c>
      <c r="R1" s="403"/>
      <c r="S1" s="403"/>
      <c r="T1" s="403"/>
      <c r="U1" s="403"/>
    </row>
    <row r="2" spans="1:21" x14ac:dyDescent="0.25">
      <c r="A2" s="181" t="str">
        <f>IS!A2</f>
        <v>(Unless Otherwise specified, all financials are in ₹ Cr)</v>
      </c>
      <c r="B2" s="182"/>
      <c r="E2" s="379">
        <f>IS!I2</f>
        <v>46477</v>
      </c>
      <c r="F2" s="379">
        <f>IS!J2</f>
        <v>46843</v>
      </c>
      <c r="G2" s="379">
        <f>IS!K2</f>
        <v>47208</v>
      </c>
      <c r="H2" s="379">
        <f>IS!L2</f>
        <v>47573</v>
      </c>
      <c r="I2" s="379">
        <f>IS!M2</f>
        <v>47938</v>
      </c>
      <c r="K2" s="379">
        <f>E2</f>
        <v>46477</v>
      </c>
      <c r="L2" s="379">
        <f t="shared" ref="L2:O2" si="0">F2</f>
        <v>46843</v>
      </c>
      <c r="M2" s="379">
        <f t="shared" si="0"/>
        <v>47208</v>
      </c>
      <c r="N2" s="379">
        <f t="shared" si="0"/>
        <v>47573</v>
      </c>
      <c r="O2" s="379">
        <f t="shared" si="0"/>
        <v>47938</v>
      </c>
      <c r="Q2" s="379">
        <f>K2</f>
        <v>46477</v>
      </c>
      <c r="R2" s="379">
        <f t="shared" ref="R2" si="1">L2</f>
        <v>46843</v>
      </c>
      <c r="S2" s="379">
        <f t="shared" ref="S2" si="2">M2</f>
        <v>47208</v>
      </c>
      <c r="T2" s="267">
        <f t="shared" ref="T2" si="3">N2</f>
        <v>47573</v>
      </c>
      <c r="U2" s="267">
        <f t="shared" ref="U2" si="4">O2</f>
        <v>47938</v>
      </c>
    </row>
    <row r="3" spans="1:21" x14ac:dyDescent="0.25">
      <c r="E3" s="331"/>
      <c r="F3" s="331"/>
      <c r="G3" s="331"/>
      <c r="H3" s="331"/>
      <c r="I3" s="331"/>
      <c r="K3" s="17"/>
      <c r="L3" s="17"/>
      <c r="M3" s="17"/>
      <c r="N3" s="17"/>
      <c r="O3" s="17"/>
      <c r="Q3" s="333"/>
      <c r="R3" s="333"/>
      <c r="S3" s="333"/>
      <c r="T3" s="333"/>
      <c r="U3" s="333"/>
    </row>
    <row r="4" spans="1:21" x14ac:dyDescent="0.25">
      <c r="C4" s="341" t="s">
        <v>349</v>
      </c>
      <c r="E4" s="380">
        <v>0.06</v>
      </c>
      <c r="F4" s="380">
        <v>7.0000000000000007E-2</v>
      </c>
      <c r="G4" s="380">
        <v>7.4999999999999997E-2</v>
      </c>
      <c r="H4" s="380">
        <v>7.0000000000000007E-2</v>
      </c>
      <c r="I4" s="380">
        <v>7.0000000000000007E-2</v>
      </c>
      <c r="K4" s="327">
        <f>Assumptions!I15</f>
        <v>0.17420000000000013</v>
      </c>
      <c r="L4" s="327">
        <f>Assumptions!J15</f>
        <v>0.16954999999999987</v>
      </c>
      <c r="M4" s="327">
        <f>Assumptions!K15</f>
        <v>0.13360000000000016</v>
      </c>
      <c r="N4" s="327">
        <f>Assumptions!L15</f>
        <v>0.1390499999999999</v>
      </c>
      <c r="O4" s="327">
        <f>Assumptions!M15</f>
        <v>0.14450000000000007</v>
      </c>
      <c r="Q4" s="334">
        <v>0.22</v>
      </c>
      <c r="R4" s="334">
        <v>0.22</v>
      </c>
      <c r="S4" s="334">
        <v>0.2</v>
      </c>
      <c r="T4" s="334">
        <v>0.18</v>
      </c>
      <c r="U4" s="334">
        <v>0.17499999999999999</v>
      </c>
    </row>
    <row r="5" spans="1:21" x14ac:dyDescent="0.25">
      <c r="C5" t="s">
        <v>350</v>
      </c>
      <c r="E5" s="381">
        <v>5793</v>
      </c>
      <c r="F5" s="381">
        <v>6198</v>
      </c>
      <c r="G5" s="381">
        <v>6663</v>
      </c>
      <c r="H5" s="381">
        <v>7130</v>
      </c>
      <c r="I5" s="381">
        <v>7629</v>
      </c>
      <c r="K5" s="328">
        <f>Assumptions!I11</f>
        <v>6416.9325480000016</v>
      </c>
      <c r="L5" s="328">
        <f>Assumptions!J11</f>
        <v>7504.923461513401</v>
      </c>
      <c r="M5" s="328">
        <f>Assumptions!K11</f>
        <v>8507.5812359715928</v>
      </c>
      <c r="N5" s="328">
        <f>Assumptions!L11</f>
        <v>9690.5604068334414</v>
      </c>
      <c r="O5" s="328">
        <f>Assumptions!M11</f>
        <v>11090.846385620875</v>
      </c>
      <c r="Q5" s="335">
        <v>6667</v>
      </c>
      <c r="R5" s="335">
        <v>8134</v>
      </c>
      <c r="S5" s="335">
        <v>9761</v>
      </c>
      <c r="T5" s="335">
        <v>11518</v>
      </c>
      <c r="U5" s="335">
        <v>13533</v>
      </c>
    </row>
    <row r="6" spans="1:21" x14ac:dyDescent="0.25">
      <c r="E6" s="331"/>
      <c r="F6" s="331"/>
      <c r="G6" s="331"/>
      <c r="H6" s="331"/>
      <c r="I6" s="331"/>
      <c r="K6" s="17"/>
      <c r="L6" s="17"/>
      <c r="M6" s="17"/>
      <c r="N6" s="17"/>
      <c r="O6" s="17"/>
      <c r="Q6" s="333"/>
      <c r="R6" s="333"/>
      <c r="S6" s="333"/>
      <c r="T6" s="333"/>
      <c r="U6" s="333"/>
    </row>
    <row r="7" spans="1:21" x14ac:dyDescent="0.25">
      <c r="C7" t="s">
        <v>351</v>
      </c>
      <c r="E7" s="332">
        <f>E5</f>
        <v>5793</v>
      </c>
      <c r="F7" s="332">
        <f>F5</f>
        <v>6198</v>
      </c>
      <c r="G7" s="332">
        <f>G5</f>
        <v>6663</v>
      </c>
      <c r="H7" s="332">
        <f>H5</f>
        <v>7130</v>
      </c>
      <c r="I7" s="332">
        <f>I5</f>
        <v>7629</v>
      </c>
      <c r="K7" s="329">
        <f>K5</f>
        <v>6416.9325480000016</v>
      </c>
      <c r="L7" s="329">
        <f>L5</f>
        <v>7504.923461513401</v>
      </c>
      <c r="M7" s="329">
        <f>M5</f>
        <v>8507.5812359715928</v>
      </c>
      <c r="N7" s="329">
        <f>N5</f>
        <v>9690.5604068334414</v>
      </c>
      <c r="O7" s="329">
        <f>O5</f>
        <v>11090.846385620875</v>
      </c>
      <c r="Q7" s="336">
        <f>Q5</f>
        <v>6667</v>
      </c>
      <c r="R7" s="336">
        <f>R5</f>
        <v>8134</v>
      </c>
      <c r="S7" s="336">
        <f>S5</f>
        <v>9761</v>
      </c>
      <c r="T7" s="336">
        <f>T5</f>
        <v>11518</v>
      </c>
      <c r="U7" s="336">
        <f>U5</f>
        <v>13533</v>
      </c>
    </row>
    <row r="8" spans="1:21" x14ac:dyDescent="0.25">
      <c r="C8" t="s">
        <v>352</v>
      </c>
      <c r="E8" s="378">
        <v>7.1999999999999995E-2</v>
      </c>
      <c r="F8" s="378">
        <v>7.4999999999999997E-2</v>
      </c>
      <c r="G8" s="378">
        <v>7.8E-2</v>
      </c>
      <c r="H8" s="378">
        <v>8.2000000000000003E-2</v>
      </c>
      <c r="I8" s="378">
        <v>8.5000000000000006E-2</v>
      </c>
      <c r="K8" s="330">
        <f>IS!I18</f>
        <v>8.04416230145482E-2</v>
      </c>
      <c r="L8" s="330">
        <f>IS!J18</f>
        <v>8.340104964940187E-2</v>
      </c>
      <c r="M8" s="330">
        <f>IS!K18</f>
        <v>8.7354408895820468E-2</v>
      </c>
      <c r="N8" s="330">
        <f>IS!L18</f>
        <v>9.0452101904300281E-2</v>
      </c>
      <c r="O8" s="330">
        <f>IS!M18</f>
        <v>9.4557368892896856E-2</v>
      </c>
      <c r="Q8" s="377">
        <v>0.09</v>
      </c>
      <c r="R8" s="377">
        <v>9.4E-2</v>
      </c>
      <c r="S8" s="377">
        <v>9.7000000000000003E-2</v>
      </c>
      <c r="T8" s="377">
        <v>0.1</v>
      </c>
      <c r="U8" s="377">
        <v>0.106</v>
      </c>
    </row>
    <row r="9" spans="1:21" x14ac:dyDescent="0.25">
      <c r="C9" s="1" t="s">
        <v>12</v>
      </c>
      <c r="D9" s="1"/>
      <c r="E9" s="382">
        <f>E7*E8</f>
        <v>417.09599999999995</v>
      </c>
      <c r="F9" s="382">
        <f t="shared" ref="F9:I9" si="5">F7*F8</f>
        <v>464.84999999999997</v>
      </c>
      <c r="G9" s="382">
        <f t="shared" si="5"/>
        <v>519.71400000000006</v>
      </c>
      <c r="H9" s="382">
        <f t="shared" si="5"/>
        <v>584.66</v>
      </c>
      <c r="I9" s="382">
        <f t="shared" si="5"/>
        <v>648.46500000000003</v>
      </c>
      <c r="J9" s="1"/>
      <c r="K9" s="383">
        <f>K7*K8</f>
        <v>516.18846893600039</v>
      </c>
      <c r="L9" s="383">
        <f>L7*L8</f>
        <v>625.91849422864016</v>
      </c>
      <c r="M9" s="383">
        <f>M7*M8</f>
        <v>743.1747300014722</v>
      </c>
      <c r="N9" s="383">
        <f>N7*N8</f>
        <v>876.53155742867602</v>
      </c>
      <c r="O9" s="383">
        <f>O7*O8</f>
        <v>1048.7212530196048</v>
      </c>
      <c r="P9" s="1"/>
      <c r="Q9" s="384">
        <f>Q8*Q7</f>
        <v>600.03</v>
      </c>
      <c r="R9" s="384">
        <f t="shared" ref="R9:U9" si="6">R8*R7</f>
        <v>764.596</v>
      </c>
      <c r="S9" s="384">
        <f t="shared" si="6"/>
        <v>946.81700000000001</v>
      </c>
      <c r="T9" s="384">
        <f t="shared" si="6"/>
        <v>1151.8</v>
      </c>
      <c r="U9" s="384">
        <f t="shared" si="6"/>
        <v>1434.498</v>
      </c>
    </row>
    <row r="10" spans="1:21" x14ac:dyDescent="0.25">
      <c r="C10" t="s">
        <v>13</v>
      </c>
      <c r="E10" s="332">
        <f>K10</f>
        <v>105.0256</v>
      </c>
      <c r="F10" s="332">
        <f t="shared" ref="F10:I10" si="7">L10</f>
        <v>116.83767499999999</v>
      </c>
      <c r="G10" s="332">
        <f t="shared" si="7"/>
        <v>128.7081455</v>
      </c>
      <c r="H10" s="332">
        <f t="shared" si="7"/>
        <v>139.6412562825</v>
      </c>
      <c r="I10" s="332">
        <f t="shared" si="7"/>
        <v>149.35234445729998</v>
      </c>
      <c r="K10" s="329">
        <f>IS!I19</f>
        <v>105.0256</v>
      </c>
      <c r="L10" s="329">
        <f>IS!J19</f>
        <v>116.83767499999999</v>
      </c>
      <c r="M10" s="329">
        <f>IS!K19</f>
        <v>128.7081455</v>
      </c>
      <c r="N10" s="329">
        <f>IS!L19</f>
        <v>139.6412562825</v>
      </c>
      <c r="O10" s="329">
        <f>IS!M19</f>
        <v>149.35234445729998</v>
      </c>
      <c r="Q10" s="336">
        <f>K10</f>
        <v>105.0256</v>
      </c>
      <c r="R10" s="336">
        <f t="shared" ref="R10:U10" si="8">L10</f>
        <v>116.83767499999999</v>
      </c>
      <c r="S10" s="336">
        <f t="shared" si="8"/>
        <v>128.7081455</v>
      </c>
      <c r="T10" s="336">
        <f t="shared" si="8"/>
        <v>139.6412562825</v>
      </c>
      <c r="U10" s="336">
        <f t="shared" si="8"/>
        <v>149.35234445729998</v>
      </c>
    </row>
    <row r="11" spans="1:21" s="88" customFormat="1" x14ac:dyDescent="0.25">
      <c r="C11" s="88" t="s">
        <v>14</v>
      </c>
      <c r="E11" s="385">
        <f>E9-E10</f>
        <v>312.07039999999995</v>
      </c>
      <c r="F11" s="385">
        <f t="shared" ref="F11:I11" si="9">F9-F10</f>
        <v>348.01232499999998</v>
      </c>
      <c r="G11" s="385">
        <f t="shared" si="9"/>
        <v>391.00585450000005</v>
      </c>
      <c r="H11" s="385">
        <f t="shared" si="9"/>
        <v>445.0187437175</v>
      </c>
      <c r="I11" s="385">
        <f t="shared" si="9"/>
        <v>499.11265554270005</v>
      </c>
      <c r="K11" s="386">
        <f>K9-K10</f>
        <v>411.16286893600039</v>
      </c>
      <c r="L11" s="386">
        <f t="shared" ref="L11:Q11" si="10">L9-L10</f>
        <v>509.08081922864017</v>
      </c>
      <c r="M11" s="386">
        <f t="shared" si="10"/>
        <v>614.4665845014722</v>
      </c>
      <c r="N11" s="386">
        <f t="shared" si="10"/>
        <v>736.89030114617606</v>
      </c>
      <c r="O11" s="386">
        <f t="shared" si="10"/>
        <v>899.3689085623048</v>
      </c>
      <c r="Q11" s="387">
        <f t="shared" si="10"/>
        <v>495.00439999999998</v>
      </c>
      <c r="R11" s="387">
        <f t="shared" ref="R11" si="11">R9-R10</f>
        <v>647.75832500000001</v>
      </c>
      <c r="S11" s="387">
        <f t="shared" ref="S11" si="12">S9-S10</f>
        <v>818.10885450000001</v>
      </c>
      <c r="T11" s="387">
        <f t="shared" ref="T11" si="13">T9-T10</f>
        <v>1012.1587437175</v>
      </c>
      <c r="U11" s="387">
        <f t="shared" ref="U11" si="14">U9-U10</f>
        <v>1285.1456555427001</v>
      </c>
    </row>
    <row r="12" spans="1:21" x14ac:dyDescent="0.25">
      <c r="C12" s="1" t="s">
        <v>207</v>
      </c>
      <c r="D12" s="1"/>
      <c r="E12" s="382">
        <f>E11*(1-Assumptions!$I$37)</f>
        <v>233.52228031999996</v>
      </c>
      <c r="F12" s="382">
        <f>F11*(1-Assumptions!$I$37)</f>
        <v>260.41762279749997</v>
      </c>
      <c r="G12" s="382">
        <f>G11*(1-Assumptions!$I$37)</f>
        <v>292.58968092235006</v>
      </c>
      <c r="H12" s="382">
        <f>H11*(1-Assumptions!$I$37)</f>
        <v>333.00752592380525</v>
      </c>
      <c r="I12" s="382">
        <f>I11*(1-Assumptions!$I$37)</f>
        <v>373.48600014260245</v>
      </c>
      <c r="J12" s="1"/>
      <c r="K12" s="383">
        <f>K11*(1-Assumptions!$I$37)</f>
        <v>307.67317482480905</v>
      </c>
      <c r="L12" s="383">
        <f>L11*(1-Assumptions!$I$37)</f>
        <v>380.94517702879142</v>
      </c>
      <c r="M12" s="383">
        <f>M11*(1-Assumptions!$I$37)</f>
        <v>459.80534518245162</v>
      </c>
      <c r="N12" s="383">
        <f>N11*(1-Assumptions!$I$37)</f>
        <v>551.4150123476835</v>
      </c>
      <c r="O12" s="383">
        <f>O11*(1-Assumptions!$I$37)</f>
        <v>672.9977542771727</v>
      </c>
      <c r="P12" s="1"/>
      <c r="Q12" s="384">
        <f>Q11*(1-Assumptions!$I$37)</f>
        <v>370.41179251999995</v>
      </c>
      <c r="R12" s="384">
        <f>R11*(1-Assumptions!$I$37)</f>
        <v>484.7175545975</v>
      </c>
      <c r="S12" s="384">
        <f>S11*(1-Assumptions!$I$37)</f>
        <v>612.19085582234993</v>
      </c>
      <c r="T12" s="384">
        <f>T11*(1-Assumptions!$I$37)</f>
        <v>757.39838792380522</v>
      </c>
      <c r="U12" s="384">
        <f>U11*(1-Assumptions!$I$37)</f>
        <v>961.67449404260242</v>
      </c>
    </row>
    <row r="13" spans="1:21" x14ac:dyDescent="0.25">
      <c r="C13" t="s">
        <v>353</v>
      </c>
      <c r="E13" s="332">
        <f>K13*0.8</f>
        <v>-10.450874737385256</v>
      </c>
      <c r="F13" s="332">
        <f t="shared" ref="F13:I13" si="15">L13*0.8</f>
        <v>-1.9201231631092697</v>
      </c>
      <c r="G13" s="332">
        <f t="shared" si="15"/>
        <v>-7.7068397393107038</v>
      </c>
      <c r="H13" s="332">
        <f t="shared" si="15"/>
        <v>-24.263411806068373</v>
      </c>
      <c r="I13" s="332">
        <f t="shared" si="15"/>
        <v>-96.599042029845634</v>
      </c>
      <c r="K13" s="329">
        <f>CF!I18</f>
        <v>-13.063593421731568</v>
      </c>
      <c r="L13" s="329">
        <f>CF!J18</f>
        <v>-2.400153953886587</v>
      </c>
      <c r="M13" s="329">
        <f>CF!K18</f>
        <v>-9.6335496741383793</v>
      </c>
      <c r="N13" s="329">
        <f>CF!L18</f>
        <v>-30.329264757585463</v>
      </c>
      <c r="O13" s="329">
        <f>CF!M18</f>
        <v>-120.74880253730703</v>
      </c>
      <c r="Q13" s="336">
        <f>K13*1.2</f>
        <v>-15.67631210607788</v>
      </c>
      <c r="R13" s="336">
        <f t="shared" ref="R13:U13" si="16">L13*1.2</f>
        <v>-2.8801847446639042</v>
      </c>
      <c r="S13" s="336">
        <f t="shared" si="16"/>
        <v>-11.560259608966055</v>
      </c>
      <c r="T13" s="336">
        <f t="shared" si="16"/>
        <v>-36.395117709102557</v>
      </c>
      <c r="U13" s="336">
        <f t="shared" si="16"/>
        <v>-144.89856304476842</v>
      </c>
    </row>
    <row r="14" spans="1:21" x14ac:dyDescent="0.25">
      <c r="C14" t="s">
        <v>98</v>
      </c>
      <c r="E14" s="332">
        <f>K14*0.5</f>
        <v>-150</v>
      </c>
      <c r="F14" s="332">
        <f t="shared" ref="F14:I14" si="17">L14*0.5</f>
        <v>-147.6509375</v>
      </c>
      <c r="G14" s="332">
        <f t="shared" si="17"/>
        <v>-148.38088125000002</v>
      </c>
      <c r="H14" s="332">
        <f t="shared" si="17"/>
        <v>-136.66388478125</v>
      </c>
      <c r="I14" s="332">
        <f t="shared" si="17"/>
        <v>-121.38860218500001</v>
      </c>
      <c r="K14" s="329">
        <f>-'Asset Schedule'!I9</f>
        <v>-300</v>
      </c>
      <c r="L14" s="329">
        <f>-'Asset Schedule'!J9</f>
        <v>-295.301875</v>
      </c>
      <c r="M14" s="329">
        <f>-'Asset Schedule'!K9</f>
        <v>-296.76176250000003</v>
      </c>
      <c r="N14" s="329">
        <f>-'Asset Schedule'!L9</f>
        <v>-273.32776956250001</v>
      </c>
      <c r="O14" s="329">
        <f>-'Asset Schedule'!M9</f>
        <v>-242.77720437000002</v>
      </c>
      <c r="Q14" s="336">
        <f>K14*1.5</f>
        <v>-450</v>
      </c>
      <c r="R14" s="336">
        <f t="shared" ref="R14:U14" si="18">L14*1.5</f>
        <v>-442.95281249999999</v>
      </c>
      <c r="S14" s="336">
        <f t="shared" si="18"/>
        <v>-445.14264375000005</v>
      </c>
      <c r="T14" s="336">
        <f t="shared" si="18"/>
        <v>-409.99165434375004</v>
      </c>
      <c r="U14" s="336">
        <f t="shared" si="18"/>
        <v>-364.16580655500002</v>
      </c>
    </row>
    <row r="15" spans="1:21" s="22" customFormat="1" x14ac:dyDescent="0.25">
      <c r="C15" s="25" t="s">
        <v>354</v>
      </c>
      <c r="E15" s="324">
        <f>E12+E10+E13+E14</f>
        <v>178.09700558261471</v>
      </c>
      <c r="F15" s="324">
        <f t="shared" ref="F15:I15" si="19">F12+F10+F13+F14</f>
        <v>227.68423713439068</v>
      </c>
      <c r="G15" s="324">
        <f t="shared" si="19"/>
        <v>265.21010543303936</v>
      </c>
      <c r="H15" s="324">
        <f t="shared" si="19"/>
        <v>311.72148561898689</v>
      </c>
      <c r="I15" s="324">
        <f t="shared" si="19"/>
        <v>304.85070038505683</v>
      </c>
      <c r="K15" s="325">
        <f>K12+K10+K13+K14</f>
        <v>99.635181403077468</v>
      </c>
      <c r="L15" s="325">
        <f t="shared" ref="L15:Q15" si="20">L12+L10+L13+L14</f>
        <v>200.08082307490486</v>
      </c>
      <c r="M15" s="325">
        <f t="shared" si="20"/>
        <v>282.11817850831324</v>
      </c>
      <c r="N15" s="325">
        <f t="shared" si="20"/>
        <v>387.39923431009805</v>
      </c>
      <c r="O15" s="325">
        <f t="shared" si="20"/>
        <v>458.8240918271656</v>
      </c>
      <c r="Q15" s="326">
        <f t="shared" si="20"/>
        <v>9.7610804139220591</v>
      </c>
      <c r="R15" s="326">
        <f t="shared" ref="R15" si="21">R12+R10+R13+R14</f>
        <v>155.7222323528361</v>
      </c>
      <c r="S15" s="326">
        <f t="shared" ref="S15" si="22">S12+S10+S13+S14</f>
        <v>284.19609796338386</v>
      </c>
      <c r="T15" s="326">
        <f t="shared" ref="T15" si="23">T12+T10+T13+T14</f>
        <v>450.65287215345256</v>
      </c>
      <c r="U15" s="326">
        <f t="shared" ref="U15" si="24">U12+U10+U13+U14</f>
        <v>601.9624689001339</v>
      </c>
    </row>
    <row r="17" spans="3:21" x14ac:dyDescent="0.25">
      <c r="C17" t="s">
        <v>285</v>
      </c>
      <c r="E17" s="83">
        <v>1</v>
      </c>
      <c r="F17" s="83">
        <v>2</v>
      </c>
      <c r="G17" s="83">
        <v>3</v>
      </c>
      <c r="H17" s="83">
        <v>4</v>
      </c>
      <c r="I17" s="83">
        <v>5</v>
      </c>
      <c r="K17" s="83">
        <v>1</v>
      </c>
      <c r="L17" s="83">
        <v>2</v>
      </c>
      <c r="M17" s="83">
        <v>3</v>
      </c>
      <c r="N17" s="83">
        <v>4</v>
      </c>
      <c r="O17" s="83">
        <v>5</v>
      </c>
      <c r="Q17" s="83">
        <v>1</v>
      </c>
      <c r="R17" s="83">
        <v>2</v>
      </c>
      <c r="S17" s="83">
        <v>3</v>
      </c>
      <c r="T17" s="83">
        <v>4</v>
      </c>
      <c r="U17" s="83">
        <v>5</v>
      </c>
    </row>
    <row r="18" spans="3:21" x14ac:dyDescent="0.25">
      <c r="C18" t="s">
        <v>286</v>
      </c>
      <c r="E18" s="268">
        <f>1/(1+'Valuation Summary'!$C$5)^E17</f>
        <v>0.8733624454148472</v>
      </c>
      <c r="F18" s="268">
        <f>1/(1+'Valuation Summary'!$C$5)^F17</f>
        <v>0.7627619610610018</v>
      </c>
      <c r="G18" s="268">
        <f>1/(1+'Valuation Summary'!$C$5)^G17</f>
        <v>0.66616765158166091</v>
      </c>
      <c r="H18" s="268">
        <f>1/(1+'Valuation Summary'!$C$5)^H17</f>
        <v>0.58180580924162528</v>
      </c>
      <c r="I18" s="268">
        <f>1/(1+'Valuation Summary'!$C$5)^I17</f>
        <v>0.50812734431582995</v>
      </c>
      <c r="K18" s="268">
        <f>1/(1+'Valuation Summary'!$D$5)^K17</f>
        <v>0.87615723713762106</v>
      </c>
      <c r="L18" s="268">
        <f>1/(1+'Valuation Summary'!$D$5)^L17</f>
        <v>0.76765150418862949</v>
      </c>
      <c r="M18" s="268">
        <f>1/(1+'Valuation Summary'!$D$5)^M17</f>
        <v>0.67258342099444857</v>
      </c>
      <c r="N18" s="268">
        <f>1/(1+'Valuation Summary'!$D$5)^N17</f>
        <v>0.58928883188306547</v>
      </c>
      <c r="O18" s="268">
        <f>1/(1+'Valuation Summary'!$D$5)^O17</f>
        <v>0.51630967481872259</v>
      </c>
      <c r="Q18" s="268">
        <f>1/(1+'Valuation Summary'!$E$5)^Q17</f>
        <v>0.87950747581354438</v>
      </c>
      <c r="R18" s="268">
        <f>1/(1+'Valuation Summary'!$E$5)^R17</f>
        <v>0.7735334000119124</v>
      </c>
      <c r="S18" s="268">
        <f>1/(1+'Valuation Summary'!$E$5)^S17</f>
        <v>0.68032840810194573</v>
      </c>
      <c r="T18" s="268">
        <f>1/(1+'Valuation Summary'!$E$5)^T17</f>
        <v>0.5983539209339892</v>
      </c>
      <c r="U18" s="268">
        <f>1/(1+'Valuation Summary'!$E$5)^U17</f>
        <v>0.52625674664378996</v>
      </c>
    </row>
    <row r="20" spans="3:21" x14ac:dyDescent="0.25">
      <c r="C20" s="1" t="s">
        <v>361</v>
      </c>
      <c r="E20" s="324">
        <f>E18*E15</f>
        <v>155.54323631669408</v>
      </c>
      <c r="F20" s="324">
        <f t="shared" ref="F20:U20" si="25">F18*F15</f>
        <v>173.66887521930602</v>
      </c>
      <c r="G20" s="324">
        <f t="shared" si="25"/>
        <v>176.67439311205251</v>
      </c>
      <c r="H20" s="324">
        <f t="shared" si="25"/>
        <v>181.36137119855633</v>
      </c>
      <c r="I20" s="324">
        <f t="shared" si="25"/>
        <v>154.90297679947969</v>
      </c>
      <c r="J20" s="22"/>
      <c r="K20" s="325">
        <f t="shared" si="25"/>
        <v>87.296085259826043</v>
      </c>
      <c r="L20" s="325">
        <f t="shared" si="25"/>
        <v>153.59234479274977</v>
      </c>
      <c r="M20" s="325">
        <f t="shared" si="25"/>
        <v>189.74800962584382</v>
      </c>
      <c r="N20" s="325">
        <f t="shared" si="25"/>
        <v>228.29004225899166</v>
      </c>
      <c r="O20" s="325">
        <f t="shared" si="25"/>
        <v>236.89531765027959</v>
      </c>
      <c r="P20" s="22"/>
      <c r="Q20" s="326">
        <f t="shared" si="25"/>
        <v>8.5849431960616176</v>
      </c>
      <c r="R20" s="326">
        <f t="shared" si="25"/>
        <v>120.45634784933434</v>
      </c>
      <c r="S20" s="326">
        <f t="shared" si="25"/>
        <v>193.34667891621356</v>
      </c>
      <c r="T20" s="326">
        <f t="shared" si="25"/>
        <v>269.64991303318209</v>
      </c>
      <c r="U20" s="326">
        <f t="shared" si="25"/>
        <v>316.78681048504808</v>
      </c>
    </row>
  </sheetData>
  <mergeCells count="3">
    <mergeCell ref="E1:I1"/>
    <mergeCell ref="K1:O1"/>
    <mergeCell ref="Q1:U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C6C9-2033-4CC1-A36E-5FA77A6216C6}">
  <dimension ref="A2:N37"/>
  <sheetViews>
    <sheetView showGridLines="0" tabSelected="1"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I41" sqref="I41"/>
    </sheetView>
  </sheetViews>
  <sheetFormatPr defaultRowHeight="13.2" x14ac:dyDescent="0.25"/>
  <cols>
    <col min="1" max="1" width="3.33203125" customWidth="1"/>
    <col min="2" max="2" width="38.77734375" customWidth="1"/>
    <col min="3" max="3" width="10" bestFit="1" customWidth="1"/>
    <col min="4" max="4" width="2.88671875" customWidth="1"/>
    <col min="5" max="14" width="11.44140625" customWidth="1"/>
  </cols>
  <sheetData>
    <row r="2" spans="1:14" x14ac:dyDescent="0.25">
      <c r="A2" s="87" t="str">
        <f>Assumptions!A2</f>
        <v>(Unless Otherwise specified, all financials are in ₹ Cr)</v>
      </c>
      <c r="B2" s="88"/>
      <c r="C2" s="89" t="s">
        <v>58</v>
      </c>
      <c r="D2" s="89"/>
      <c r="E2" s="103">
        <f>Assumptions!E2</f>
        <v>45016</v>
      </c>
      <c r="F2" s="103">
        <f>Assumptions!F2</f>
        <v>45382</v>
      </c>
      <c r="G2" s="103">
        <f>Assumptions!G2</f>
        <v>45747</v>
      </c>
      <c r="H2" s="104">
        <f>Assumptions!H2</f>
        <v>46112</v>
      </c>
      <c r="I2" s="105">
        <f>Assumptions!I2</f>
        <v>46477</v>
      </c>
      <c r="J2" s="105">
        <f>Assumptions!J2</f>
        <v>46843</v>
      </c>
      <c r="K2" s="105">
        <f>Assumptions!K2</f>
        <v>47208</v>
      </c>
      <c r="L2" s="105">
        <f>Assumptions!L2</f>
        <v>47573</v>
      </c>
      <c r="M2" s="105">
        <f>Assumptions!M2</f>
        <v>47938</v>
      </c>
      <c r="N2" s="5"/>
    </row>
    <row r="4" spans="1:14" x14ac:dyDescent="0.25">
      <c r="B4" s="91" t="s">
        <v>93</v>
      </c>
      <c r="C4" s="91" t="s">
        <v>94</v>
      </c>
      <c r="D4" s="91"/>
    </row>
    <row r="5" spans="1:14" x14ac:dyDescent="0.25">
      <c r="B5" s="91" t="s">
        <v>95</v>
      </c>
      <c r="C5" t="s">
        <v>96</v>
      </c>
      <c r="E5" s="92">
        <f>Assumptions!E55</f>
        <v>25</v>
      </c>
      <c r="F5" s="92">
        <f>Assumptions!F55</f>
        <v>25</v>
      </c>
      <c r="G5" s="92">
        <f>Assumptions!G55</f>
        <v>25</v>
      </c>
      <c r="H5" s="92">
        <f>Assumptions!H55</f>
        <v>25</v>
      </c>
      <c r="I5" s="92">
        <f>Assumptions!I55</f>
        <v>25</v>
      </c>
      <c r="J5" s="92">
        <f>Assumptions!J55</f>
        <v>25</v>
      </c>
      <c r="K5" s="92">
        <f>Assumptions!K55</f>
        <v>25</v>
      </c>
      <c r="L5" s="92">
        <f>Assumptions!L55</f>
        <v>25</v>
      </c>
      <c r="M5" s="92">
        <f>Assumptions!M55</f>
        <v>25</v>
      </c>
      <c r="N5" s="107"/>
    </row>
    <row r="6" spans="1:14" x14ac:dyDescent="0.25">
      <c r="B6" s="91" t="s">
        <v>97</v>
      </c>
      <c r="C6" s="93" t="s">
        <v>111</v>
      </c>
      <c r="E6" s="92">
        <f>Assumptions!E56</f>
        <v>1.6</v>
      </c>
      <c r="F6" s="92">
        <f>Assumptions!F56</f>
        <v>0.18</v>
      </c>
      <c r="G6" s="92">
        <f>Assumptions!G56</f>
        <v>1.25</v>
      </c>
      <c r="H6" s="92">
        <f>Assumptions!H56</f>
        <v>2.42</v>
      </c>
      <c r="I6" s="92">
        <f>Assumptions!I56</f>
        <v>1.3625</v>
      </c>
      <c r="J6" s="92">
        <f>Assumptions!J56</f>
        <v>1.3031249999999999</v>
      </c>
      <c r="K6" s="92">
        <f>Assumptions!K56</f>
        <v>1.5839062499999998</v>
      </c>
      <c r="L6" s="92">
        <f>Assumptions!L56</f>
        <v>1.6673828124999999</v>
      </c>
      <c r="M6" s="92">
        <f>Assumptions!M56</f>
        <v>1.4792285156249998</v>
      </c>
      <c r="N6" s="107"/>
    </row>
    <row r="8" spans="1:14" x14ac:dyDescent="0.25">
      <c r="B8" t="s">
        <v>109</v>
      </c>
      <c r="I8" s="93">
        <f>Assumptions!I54</f>
        <v>300</v>
      </c>
      <c r="J8" s="93">
        <f>Assumptions!J54</f>
        <v>130</v>
      </c>
      <c r="K8" s="93">
        <f>Assumptions!K54</f>
        <v>105</v>
      </c>
      <c r="L8" s="93">
        <f>Assumptions!L54</f>
        <v>55</v>
      </c>
      <c r="M8" s="93">
        <f>Assumptions!M54</f>
        <v>0</v>
      </c>
    </row>
    <row r="9" spans="1:14" x14ac:dyDescent="0.25">
      <c r="B9" s="91" t="s">
        <v>98</v>
      </c>
      <c r="C9" s="91" t="s">
        <v>111</v>
      </c>
      <c r="D9" s="1"/>
      <c r="E9" s="106">
        <f>Assumptions!E54</f>
        <v>151.27000000000001</v>
      </c>
      <c r="F9" s="106">
        <f>Assumptions!F54</f>
        <v>150.28</v>
      </c>
      <c r="G9" s="106">
        <f>Assumptions!G54</f>
        <v>209.26</v>
      </c>
      <c r="H9" s="106">
        <f>Assumptions!H54</f>
        <v>276.77999999999997</v>
      </c>
      <c r="I9" s="106">
        <f>Assumptions!I54</f>
        <v>300</v>
      </c>
      <c r="J9" s="106">
        <f>9%*I29+J8</f>
        <v>295.301875</v>
      </c>
      <c r="K9" s="106">
        <f>9%*J29+K8</f>
        <v>296.76176250000003</v>
      </c>
      <c r="L9" s="106">
        <f>9%*K29+L8</f>
        <v>273.32776956250001</v>
      </c>
      <c r="M9" s="106">
        <f>9%*L29+M8</f>
        <v>242.77720437000002</v>
      </c>
      <c r="N9" s="107"/>
    </row>
    <row r="11" spans="1:14" x14ac:dyDescent="0.25">
      <c r="A11" s="91" t="s">
        <v>99</v>
      </c>
    </row>
    <row r="13" spans="1:14" x14ac:dyDescent="0.25">
      <c r="B13" s="99">
        <v>45016</v>
      </c>
      <c r="E13" s="92">
        <f>E$9/E$5</f>
        <v>6.0508000000000006</v>
      </c>
      <c r="F13" s="92">
        <f>E13</f>
        <v>6.0508000000000006</v>
      </c>
      <c r="G13" s="92">
        <f t="shared" ref="G13:M16" si="0">F13</f>
        <v>6.0508000000000006</v>
      </c>
      <c r="H13" s="92">
        <f t="shared" si="0"/>
        <v>6.0508000000000006</v>
      </c>
      <c r="I13" s="92">
        <f t="shared" si="0"/>
        <v>6.0508000000000006</v>
      </c>
      <c r="J13" s="92">
        <f t="shared" si="0"/>
        <v>6.0508000000000006</v>
      </c>
      <c r="K13" s="92">
        <f t="shared" si="0"/>
        <v>6.0508000000000006</v>
      </c>
      <c r="L13" s="92">
        <f t="shared" si="0"/>
        <v>6.0508000000000006</v>
      </c>
      <c r="M13" s="92">
        <f t="shared" si="0"/>
        <v>6.0508000000000006</v>
      </c>
      <c r="N13" s="107"/>
    </row>
    <row r="14" spans="1:14" x14ac:dyDescent="0.25">
      <c r="B14" s="99">
        <v>45382</v>
      </c>
      <c r="E14" s="92"/>
      <c r="F14" s="92">
        <f>F$9/F$5</f>
        <v>6.0111999999999997</v>
      </c>
      <c r="G14" s="92">
        <f>F14</f>
        <v>6.0111999999999997</v>
      </c>
      <c r="H14" s="92">
        <f t="shared" si="0"/>
        <v>6.0111999999999997</v>
      </c>
      <c r="I14" s="92">
        <f t="shared" si="0"/>
        <v>6.0111999999999997</v>
      </c>
      <c r="J14" s="92">
        <f t="shared" si="0"/>
        <v>6.0111999999999997</v>
      </c>
      <c r="K14" s="92">
        <f t="shared" si="0"/>
        <v>6.0111999999999997</v>
      </c>
      <c r="L14" s="92">
        <f t="shared" si="0"/>
        <v>6.0111999999999997</v>
      </c>
      <c r="M14" s="92">
        <f t="shared" si="0"/>
        <v>6.0111999999999997</v>
      </c>
      <c r="N14" s="107"/>
    </row>
    <row r="15" spans="1:14" x14ac:dyDescent="0.25">
      <c r="B15" s="99">
        <v>45747</v>
      </c>
      <c r="E15" s="92"/>
      <c r="F15" s="92"/>
      <c r="G15" s="92">
        <f>G$9/G$5</f>
        <v>8.3704000000000001</v>
      </c>
      <c r="H15" s="92">
        <f>G15</f>
        <v>8.3704000000000001</v>
      </c>
      <c r="I15" s="92">
        <f t="shared" si="0"/>
        <v>8.3704000000000001</v>
      </c>
      <c r="J15" s="92">
        <f t="shared" si="0"/>
        <v>8.3704000000000001</v>
      </c>
      <c r="K15" s="92">
        <f t="shared" si="0"/>
        <v>8.3704000000000001</v>
      </c>
      <c r="L15" s="92">
        <f t="shared" si="0"/>
        <v>8.3704000000000001</v>
      </c>
      <c r="M15" s="92">
        <f t="shared" si="0"/>
        <v>8.3704000000000001</v>
      </c>
      <c r="N15" s="107"/>
    </row>
    <row r="16" spans="1:14" x14ac:dyDescent="0.25">
      <c r="B16" s="100">
        <v>46112</v>
      </c>
      <c r="E16" s="92"/>
      <c r="F16" s="92"/>
      <c r="G16" s="92"/>
      <c r="H16" s="92">
        <f>H$9/H$5</f>
        <v>11.071199999999999</v>
      </c>
      <c r="I16" s="92">
        <f t="shared" si="0"/>
        <v>11.071199999999999</v>
      </c>
      <c r="J16" s="92">
        <f t="shared" si="0"/>
        <v>11.071199999999999</v>
      </c>
      <c r="K16" s="92">
        <f t="shared" si="0"/>
        <v>11.071199999999999</v>
      </c>
      <c r="L16" s="92">
        <f t="shared" si="0"/>
        <v>11.071199999999999</v>
      </c>
      <c r="M16" s="92">
        <f t="shared" si="0"/>
        <v>11.071199999999999</v>
      </c>
      <c r="N16" s="107"/>
    </row>
    <row r="17" spans="1:14" x14ac:dyDescent="0.25">
      <c r="B17" s="101">
        <v>46477</v>
      </c>
      <c r="E17" s="92"/>
      <c r="F17" s="92"/>
      <c r="G17" s="92"/>
      <c r="H17" s="92"/>
      <c r="I17" s="92">
        <f>I$9/I$5</f>
        <v>12</v>
      </c>
      <c r="J17" s="92">
        <f>I17</f>
        <v>12</v>
      </c>
      <c r="K17" s="92">
        <f>J17</f>
        <v>12</v>
      </c>
      <c r="L17" s="92">
        <f>K17</f>
        <v>12</v>
      </c>
      <c r="M17" s="92">
        <f>L17</f>
        <v>12</v>
      </c>
      <c r="N17" s="107"/>
    </row>
    <row r="18" spans="1:14" x14ac:dyDescent="0.25">
      <c r="B18" s="101">
        <v>46843</v>
      </c>
      <c r="E18" s="92"/>
      <c r="F18" s="92"/>
      <c r="G18" s="92"/>
      <c r="H18" s="92"/>
      <c r="I18" s="92"/>
      <c r="J18" s="92">
        <f>J$9/J$5</f>
        <v>11.812075</v>
      </c>
      <c r="K18" s="92">
        <f>J18</f>
        <v>11.812075</v>
      </c>
      <c r="L18" s="92">
        <f>K18</f>
        <v>11.812075</v>
      </c>
      <c r="M18" s="92">
        <f>L18</f>
        <v>11.812075</v>
      </c>
      <c r="N18" s="107"/>
    </row>
    <row r="19" spans="1:14" x14ac:dyDescent="0.25">
      <c r="B19" s="101">
        <v>47208</v>
      </c>
      <c r="E19" s="92"/>
      <c r="F19" s="92"/>
      <c r="G19" s="92"/>
      <c r="H19" s="92"/>
      <c r="I19" s="92"/>
      <c r="J19" s="92"/>
      <c r="K19" s="92">
        <f>K$9/K$5</f>
        <v>11.870470500000001</v>
      </c>
      <c r="L19" s="92">
        <f>K19</f>
        <v>11.870470500000001</v>
      </c>
      <c r="M19" s="92">
        <f>L19</f>
        <v>11.870470500000001</v>
      </c>
      <c r="N19" s="107"/>
    </row>
    <row r="20" spans="1:14" x14ac:dyDescent="0.25">
      <c r="B20" s="101">
        <v>47573</v>
      </c>
      <c r="E20" s="92"/>
      <c r="F20" s="92"/>
      <c r="G20" s="92"/>
      <c r="H20" s="92"/>
      <c r="I20" s="92"/>
      <c r="J20" s="92"/>
      <c r="K20" s="92"/>
      <c r="L20" s="92">
        <f>L$9/L$5</f>
        <v>10.9331107825</v>
      </c>
      <c r="M20" s="92">
        <f>L20</f>
        <v>10.9331107825</v>
      </c>
      <c r="N20" s="107"/>
    </row>
    <row r="21" spans="1:14" x14ac:dyDescent="0.25">
      <c r="B21" s="101">
        <v>47938</v>
      </c>
      <c r="E21" s="92"/>
      <c r="F21" s="92"/>
      <c r="G21" s="92"/>
      <c r="H21" s="92"/>
      <c r="I21" s="92"/>
      <c r="J21" s="92"/>
      <c r="K21" s="92"/>
      <c r="L21" s="92"/>
      <c r="M21" s="92">
        <f>M$9/M$5</f>
        <v>9.7110881748000004</v>
      </c>
      <c r="N21" s="107"/>
    </row>
    <row r="22" spans="1:14" x14ac:dyDescent="0.25">
      <c r="B22" s="94"/>
      <c r="C22" s="88"/>
      <c r="D22" s="88"/>
      <c r="E22" s="95"/>
      <c r="F22" s="95"/>
      <c r="G22" s="95"/>
      <c r="H22" s="95"/>
      <c r="I22" s="95"/>
      <c r="J22" s="95"/>
      <c r="K22" s="95"/>
      <c r="L22" s="95"/>
      <c r="M22" s="95"/>
      <c r="N22" s="107"/>
    </row>
    <row r="23" spans="1:14" x14ac:dyDescent="0.25">
      <c r="A23" s="91"/>
      <c r="B23" s="91" t="s">
        <v>100</v>
      </c>
      <c r="C23" s="91"/>
      <c r="D23" s="91"/>
      <c r="E23" s="96">
        <f>SUM(E13:E22)</f>
        <v>6.0508000000000006</v>
      </c>
      <c r="F23" s="96">
        <f t="shared" ref="F23:M23" si="1">SUM(F13:F22)</f>
        <v>12.062000000000001</v>
      </c>
      <c r="G23" s="96">
        <f t="shared" si="1"/>
        <v>20.432400000000001</v>
      </c>
      <c r="H23" s="96">
        <f t="shared" si="1"/>
        <v>31.503599999999999</v>
      </c>
      <c r="I23" s="96">
        <f t="shared" si="1"/>
        <v>43.503599999999999</v>
      </c>
      <c r="J23" s="96">
        <f t="shared" si="1"/>
        <v>55.315674999999999</v>
      </c>
      <c r="K23" s="96">
        <f t="shared" si="1"/>
        <v>67.186145499999995</v>
      </c>
      <c r="L23" s="96">
        <f t="shared" si="1"/>
        <v>78.11925628249999</v>
      </c>
      <c r="M23" s="96">
        <f t="shared" si="1"/>
        <v>87.830344457299987</v>
      </c>
      <c r="N23" s="96"/>
    </row>
    <row r="25" spans="1:14" x14ac:dyDescent="0.25">
      <c r="A25" s="91" t="s">
        <v>101</v>
      </c>
    </row>
    <row r="26" spans="1:14" x14ac:dyDescent="0.25">
      <c r="B26" t="s">
        <v>46</v>
      </c>
      <c r="E26" s="97"/>
      <c r="F26" s="92"/>
      <c r="G26" s="92"/>
      <c r="H26" s="92"/>
      <c r="I26" s="92">
        <f t="shared" ref="I26:M26" si="2">H29</f>
        <v>1538.05</v>
      </c>
      <c r="J26" s="92">
        <f t="shared" si="2"/>
        <v>1836.6875</v>
      </c>
      <c r="K26" s="92">
        <f t="shared" si="2"/>
        <v>2130.6862500000002</v>
      </c>
      <c r="L26" s="92">
        <f t="shared" si="2"/>
        <v>2425.8641062500001</v>
      </c>
      <c r="M26" s="92">
        <f t="shared" si="2"/>
        <v>2697.5244930000003</v>
      </c>
      <c r="N26" s="107"/>
    </row>
    <row r="27" spans="1:14" x14ac:dyDescent="0.25">
      <c r="B27" t="s">
        <v>102</v>
      </c>
      <c r="E27" s="92"/>
      <c r="F27" s="92"/>
      <c r="G27" s="92"/>
      <c r="H27" s="92"/>
      <c r="I27" s="92">
        <f>I9</f>
        <v>300</v>
      </c>
      <c r="J27" s="92">
        <f>J9</f>
        <v>295.301875</v>
      </c>
      <c r="K27" s="92">
        <f>K9</f>
        <v>296.76176250000003</v>
      </c>
      <c r="L27" s="92">
        <f>L9</f>
        <v>273.32776956250001</v>
      </c>
      <c r="M27" s="92">
        <f>M9</f>
        <v>242.77720437000002</v>
      </c>
      <c r="N27" s="107"/>
    </row>
    <row r="28" spans="1:14" x14ac:dyDescent="0.25">
      <c r="B28" s="88" t="s">
        <v>103</v>
      </c>
      <c r="C28" s="88"/>
      <c r="D28" s="88"/>
      <c r="E28" s="95"/>
      <c r="F28" s="95"/>
      <c r="G28" s="95"/>
      <c r="H28" s="95"/>
      <c r="I28" s="95">
        <f>I6</f>
        <v>1.3625</v>
      </c>
      <c r="J28" s="95">
        <f>J6</f>
        <v>1.3031249999999999</v>
      </c>
      <c r="K28" s="95">
        <f>K6</f>
        <v>1.5839062499999998</v>
      </c>
      <c r="L28" s="95">
        <f>L6</f>
        <v>1.6673828124999999</v>
      </c>
      <c r="M28" s="95">
        <f>M6</f>
        <v>1.4792285156249998</v>
      </c>
      <c r="N28" s="107"/>
    </row>
    <row r="29" spans="1:14" x14ac:dyDescent="0.25">
      <c r="B29" s="91" t="s">
        <v>47</v>
      </c>
      <c r="C29" s="91"/>
      <c r="D29" s="91"/>
      <c r="E29" s="98"/>
      <c r="F29" s="98"/>
      <c r="G29" s="98"/>
      <c r="H29" s="98">
        <f>BS!H17</f>
        <v>1538.05</v>
      </c>
      <c r="I29" s="98">
        <f t="shared" ref="I29:M29" si="3">I26+I27-I28</f>
        <v>1836.6875</v>
      </c>
      <c r="J29" s="98">
        <f t="shared" si="3"/>
        <v>2130.6862500000002</v>
      </c>
      <c r="K29" s="98">
        <f t="shared" si="3"/>
        <v>2425.8641062500001</v>
      </c>
      <c r="L29" s="98">
        <f t="shared" si="3"/>
        <v>2697.5244930000003</v>
      </c>
      <c r="M29" s="98">
        <f t="shared" si="3"/>
        <v>2938.8224688543755</v>
      </c>
      <c r="N29" s="108"/>
    </row>
    <row r="31" spans="1:14" x14ac:dyDescent="0.25">
      <c r="B31" t="s">
        <v>296</v>
      </c>
      <c r="I31" s="92">
        <f>$H$29/I5</f>
        <v>61.521999999999998</v>
      </c>
      <c r="J31" s="92">
        <f t="shared" ref="J31:M31" si="4">$H$29/J5</f>
        <v>61.521999999999998</v>
      </c>
      <c r="K31" s="92">
        <f t="shared" si="4"/>
        <v>61.521999999999998</v>
      </c>
      <c r="L31" s="92">
        <f t="shared" si="4"/>
        <v>61.521999999999998</v>
      </c>
      <c r="M31" s="92">
        <f t="shared" si="4"/>
        <v>61.521999999999998</v>
      </c>
    </row>
    <row r="32" spans="1:14" x14ac:dyDescent="0.25">
      <c r="B32" t="s">
        <v>297</v>
      </c>
      <c r="I32" s="49">
        <f>I23</f>
        <v>43.503599999999999</v>
      </c>
      <c r="J32" s="49">
        <f t="shared" ref="J32:M32" si="5">J23</f>
        <v>55.315674999999999</v>
      </c>
      <c r="K32" s="49">
        <f t="shared" si="5"/>
        <v>67.186145499999995</v>
      </c>
      <c r="L32" s="49">
        <f t="shared" si="5"/>
        <v>78.11925628249999</v>
      </c>
      <c r="M32" s="49">
        <f t="shared" si="5"/>
        <v>87.830344457299987</v>
      </c>
    </row>
    <row r="34" spans="1:14" x14ac:dyDescent="0.25">
      <c r="A34" s="91" t="s">
        <v>104</v>
      </c>
    </row>
    <row r="35" spans="1:14" x14ac:dyDescent="0.25">
      <c r="B35" t="s">
        <v>46</v>
      </c>
      <c r="E35" s="97"/>
      <c r="F35" s="92"/>
      <c r="G35" s="92"/>
      <c r="H35" s="92"/>
      <c r="I35" s="92">
        <f t="shared" ref="I35:M35" si="6">H37</f>
        <v>115.28</v>
      </c>
      <c r="J35" s="92">
        <f t="shared" si="6"/>
        <v>220.3056</v>
      </c>
      <c r="K35" s="92">
        <f t="shared" si="6"/>
        <v>337.14327500000002</v>
      </c>
      <c r="L35" s="92">
        <f t="shared" si="6"/>
        <v>465.85142050000002</v>
      </c>
      <c r="M35" s="92">
        <f t="shared" si="6"/>
        <v>605.49267678249998</v>
      </c>
      <c r="N35" s="107"/>
    </row>
    <row r="36" spans="1:14" x14ac:dyDescent="0.25">
      <c r="B36" s="88" t="s">
        <v>105</v>
      </c>
      <c r="C36" s="88"/>
      <c r="D36" s="88"/>
      <c r="E36" s="95"/>
      <c r="F36" s="95"/>
      <c r="G36" s="95"/>
      <c r="H36" s="95"/>
      <c r="I36" s="95">
        <f>I31+I32</f>
        <v>105.0256</v>
      </c>
      <c r="J36" s="95">
        <f t="shared" ref="J36:M36" si="7">J31+J32</f>
        <v>116.83767499999999</v>
      </c>
      <c r="K36" s="95">
        <f t="shared" si="7"/>
        <v>128.7081455</v>
      </c>
      <c r="L36" s="95">
        <f t="shared" si="7"/>
        <v>139.6412562825</v>
      </c>
      <c r="M36" s="95">
        <f t="shared" si="7"/>
        <v>149.35234445729998</v>
      </c>
      <c r="N36" s="107"/>
    </row>
    <row r="37" spans="1:14" x14ac:dyDescent="0.25">
      <c r="B37" s="91" t="s">
        <v>47</v>
      </c>
      <c r="C37" s="91"/>
      <c r="D37" s="91"/>
      <c r="E37" s="98"/>
      <c r="F37" s="98"/>
      <c r="G37" s="98"/>
      <c r="H37" s="98">
        <f>IS!H19</f>
        <v>115.28</v>
      </c>
      <c r="I37" s="98">
        <f t="shared" ref="I37:M37" si="8">I35+I36</f>
        <v>220.3056</v>
      </c>
      <c r="J37" s="98">
        <f t="shared" si="8"/>
        <v>337.14327500000002</v>
      </c>
      <c r="K37" s="98">
        <f t="shared" si="8"/>
        <v>465.85142050000002</v>
      </c>
      <c r="L37" s="98">
        <f t="shared" si="8"/>
        <v>605.49267678249998</v>
      </c>
      <c r="M37" s="98">
        <f t="shared" si="8"/>
        <v>754.84502123979996</v>
      </c>
      <c r="N37" s="108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BFA3-0D43-4F7A-ABDE-8960CED18FD9}">
  <dimension ref="A2:M32"/>
  <sheetViews>
    <sheetView showGridLines="0" zoomScale="84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I6" sqref="I6"/>
    </sheetView>
  </sheetViews>
  <sheetFormatPr defaultRowHeight="13.2" x14ac:dyDescent="0.25"/>
  <cols>
    <col min="1" max="1" width="3.33203125" customWidth="1"/>
    <col min="2" max="2" width="38.77734375" customWidth="1"/>
    <col min="3" max="3" width="10" bestFit="1" customWidth="1"/>
    <col min="4" max="4" width="2.88671875" customWidth="1"/>
    <col min="5" max="13" width="11.44140625" customWidth="1"/>
  </cols>
  <sheetData>
    <row r="2" spans="1:13" x14ac:dyDescent="0.25">
      <c r="A2" s="87" t="str">
        <f>Assumptions!A2</f>
        <v>(Unless Otherwise specified, all financials are in ₹ Cr)</v>
      </c>
      <c r="B2" s="88"/>
      <c r="C2" s="89" t="s">
        <v>58</v>
      </c>
      <c r="D2" s="89"/>
      <c r="E2" s="103">
        <f>Assumptions!E2</f>
        <v>45016</v>
      </c>
      <c r="F2" s="103">
        <f>Assumptions!F2</f>
        <v>45382</v>
      </c>
      <c r="G2" s="103">
        <f>Assumptions!G2</f>
        <v>45747</v>
      </c>
      <c r="H2" s="104">
        <f>Assumptions!H2</f>
        <v>46112</v>
      </c>
      <c r="I2" s="105">
        <f>Assumptions!I2</f>
        <v>46477</v>
      </c>
      <c r="J2" s="105">
        <f>Assumptions!J2</f>
        <v>46843</v>
      </c>
      <c r="K2" s="105">
        <f>Assumptions!K2</f>
        <v>47208</v>
      </c>
      <c r="L2" s="105">
        <f>Assumptions!L2</f>
        <v>47573</v>
      </c>
      <c r="M2" s="105">
        <f>Assumptions!M2</f>
        <v>47938</v>
      </c>
    </row>
    <row r="4" spans="1:13" x14ac:dyDescent="0.25">
      <c r="A4" s="27" t="s">
        <v>34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 x14ac:dyDescent="0.25">
      <c r="A5" s="20"/>
      <c r="B5" s="20" t="s">
        <v>46</v>
      </c>
      <c r="C5" s="20"/>
      <c r="D5" s="20"/>
      <c r="E5" s="83"/>
      <c r="F5" s="83"/>
      <c r="G5" s="83"/>
      <c r="H5" s="83"/>
      <c r="I5" s="83">
        <f>H8</f>
        <v>454.36</v>
      </c>
      <c r="J5" s="83">
        <f t="shared" ref="J5:M5" si="0">I8</f>
        <v>444.3154645188518</v>
      </c>
      <c r="K5" s="83">
        <f t="shared" si="0"/>
        <v>435.885057540182</v>
      </c>
      <c r="L5" s="83">
        <f t="shared" si="0"/>
        <v>479.15231945376462</v>
      </c>
      <c r="M5" s="83">
        <f t="shared" si="0"/>
        <v>519.31560528559316</v>
      </c>
    </row>
    <row r="6" spans="1:13" x14ac:dyDescent="0.25">
      <c r="A6" s="20"/>
      <c r="B6" s="20" t="s">
        <v>115</v>
      </c>
      <c r="C6" s="20"/>
      <c r="D6" s="20"/>
      <c r="I6" s="111">
        <f>Assumptions!I67</f>
        <v>-10.044535481148239</v>
      </c>
      <c r="J6" s="111">
        <f>Assumptions!J67</f>
        <v>-8.4304069786698204</v>
      </c>
      <c r="K6" s="111">
        <f>Assumptions!K67</f>
        <v>43.267261913582637</v>
      </c>
      <c r="L6" s="111">
        <f>Assumptions!L67</f>
        <v>40.163285831828588</v>
      </c>
      <c r="M6" s="111">
        <f>Assumptions!M67</f>
        <v>68.98579115569396</v>
      </c>
    </row>
    <row r="7" spans="1:13" x14ac:dyDescent="0.25">
      <c r="A7" s="20"/>
      <c r="B7" s="26" t="s">
        <v>116</v>
      </c>
      <c r="C7" s="26"/>
      <c r="D7" s="26"/>
      <c r="I7" s="112">
        <f>-Assumptions!I72</f>
        <v>0</v>
      </c>
      <c r="J7" s="112">
        <f>-Assumptions!J72</f>
        <v>0</v>
      </c>
      <c r="K7" s="112">
        <f>-Assumptions!K72</f>
        <v>0</v>
      </c>
      <c r="L7" s="112">
        <f>-Assumptions!L72</f>
        <v>0</v>
      </c>
      <c r="M7" s="112">
        <f>-Assumptions!M72</f>
        <v>0</v>
      </c>
    </row>
    <row r="8" spans="1:13" x14ac:dyDescent="0.25">
      <c r="A8" s="20"/>
      <c r="B8" s="27" t="s">
        <v>47</v>
      </c>
      <c r="C8" s="27"/>
      <c r="D8" s="27"/>
      <c r="E8" s="115"/>
      <c r="F8" s="115"/>
      <c r="G8" s="115"/>
      <c r="H8" s="115">
        <f>BS!H31</f>
        <v>454.36</v>
      </c>
      <c r="I8" s="84">
        <f>SUM(I5:I7)</f>
        <v>444.3154645188518</v>
      </c>
      <c r="J8" s="84">
        <f t="shared" ref="J8:M8" si="1">SUM(J5:J7)</f>
        <v>435.885057540182</v>
      </c>
      <c r="K8" s="84">
        <f t="shared" si="1"/>
        <v>479.15231945376462</v>
      </c>
      <c r="L8" s="84">
        <f t="shared" si="1"/>
        <v>519.31560528559316</v>
      </c>
      <c r="M8" s="84">
        <f t="shared" si="1"/>
        <v>588.30139644128712</v>
      </c>
    </row>
    <row r="9" spans="1:13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13" x14ac:dyDescent="0.25">
      <c r="A10" s="20"/>
      <c r="B10" s="20" t="s">
        <v>117</v>
      </c>
      <c r="C10" s="20"/>
      <c r="D10" s="20"/>
      <c r="E10" s="83"/>
      <c r="F10" s="83"/>
      <c r="G10" s="83"/>
      <c r="H10" s="83"/>
      <c r="I10" s="83">
        <f t="shared" ref="I10:M10" si="2">AVERAGE(H8:I8)</f>
        <v>449.33773225942593</v>
      </c>
      <c r="J10" s="83">
        <f t="shared" si="2"/>
        <v>440.1002610295169</v>
      </c>
      <c r="K10" s="83">
        <f t="shared" si="2"/>
        <v>457.51868849697331</v>
      </c>
      <c r="L10" s="83">
        <f t="shared" si="2"/>
        <v>499.23396236967892</v>
      </c>
      <c r="M10" s="83">
        <f t="shared" si="2"/>
        <v>553.80850086344014</v>
      </c>
    </row>
    <row r="11" spans="1:13" x14ac:dyDescent="0.25">
      <c r="A11" s="20"/>
      <c r="B11" s="20" t="s">
        <v>118</v>
      </c>
      <c r="C11" s="20"/>
      <c r="D11" s="20"/>
      <c r="E11" s="83"/>
      <c r="F11" s="83"/>
      <c r="G11" s="83"/>
      <c r="H11" s="83"/>
      <c r="I11" s="118">
        <f>Assumptions!F63</f>
        <v>9.76326E-2</v>
      </c>
      <c r="J11" s="118">
        <f>I11</f>
        <v>9.76326E-2</v>
      </c>
      <c r="K11" s="118">
        <f t="shared" ref="K11:M11" si="3">J11</f>
        <v>9.76326E-2</v>
      </c>
      <c r="L11" s="118">
        <f t="shared" si="3"/>
        <v>9.76326E-2</v>
      </c>
      <c r="M11" s="118">
        <f t="shared" si="3"/>
        <v>9.76326E-2</v>
      </c>
    </row>
    <row r="12" spans="1:13" x14ac:dyDescent="0.25">
      <c r="A12" s="20"/>
      <c r="B12" s="20" t="s">
        <v>119</v>
      </c>
      <c r="C12" s="20"/>
      <c r="D12" s="20"/>
      <c r="E12" s="83"/>
      <c r="F12" s="83"/>
      <c r="G12" s="83"/>
      <c r="H12" s="83"/>
      <c r="I12" s="83">
        <f>I11*I10</f>
        <v>43.870011078591631</v>
      </c>
      <c r="J12" s="83">
        <f>J11*J10</f>
        <v>42.968132744990413</v>
      </c>
      <c r="K12" s="83">
        <f>K11*K10</f>
        <v>44.668739106549594</v>
      </c>
      <c r="L12" s="83">
        <f>L11*L10</f>
        <v>48.741509754453915</v>
      </c>
      <c r="M12" s="83">
        <f>M11*M10</f>
        <v>54.069763841399904</v>
      </c>
    </row>
    <row r="13" spans="1:13" x14ac:dyDescent="0.25">
      <c r="A13" s="2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1" t="s">
        <v>113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 x14ac:dyDescent="0.25">
      <c r="A15" s="20"/>
      <c r="B15" s="20" t="s">
        <v>46</v>
      </c>
      <c r="C15" s="20"/>
      <c r="D15" s="20"/>
      <c r="E15" s="83"/>
      <c r="F15" s="83"/>
      <c r="G15" s="83"/>
      <c r="H15" s="83"/>
      <c r="I15" s="83">
        <f>H18</f>
        <v>257.29000000000002</v>
      </c>
      <c r="J15" s="83">
        <f t="shared" ref="J15:M15" si="4">I18</f>
        <v>248.64500000000001</v>
      </c>
      <c r="K15" s="83">
        <f t="shared" si="4"/>
        <v>241.82307499999999</v>
      </c>
      <c r="L15" s="83">
        <f t="shared" si="4"/>
        <v>239.17487600000004</v>
      </c>
      <c r="M15" s="83">
        <f t="shared" si="4"/>
        <v>225.84164677250001</v>
      </c>
    </row>
    <row r="16" spans="1:13" x14ac:dyDescent="0.25">
      <c r="A16" s="20"/>
      <c r="B16" s="20" t="s">
        <v>115</v>
      </c>
      <c r="C16" s="20"/>
      <c r="D16" s="20"/>
      <c r="E16" s="111"/>
      <c r="F16" s="111"/>
      <c r="G16" s="111"/>
      <c r="H16" s="111"/>
      <c r="I16" s="111">
        <f>Assumptions!I68</f>
        <v>120</v>
      </c>
      <c r="J16" s="111">
        <f>Assumptions!J68</f>
        <v>129.93282500000001</v>
      </c>
      <c r="K16" s="111">
        <f>Assumptions!K68</f>
        <v>142.44564600000001</v>
      </c>
      <c r="L16" s="111">
        <f>Assumptions!L68</f>
        <v>142.13044017250002</v>
      </c>
      <c r="M16" s="111">
        <f>Assumptions!M68</f>
        <v>135.95523444720001</v>
      </c>
    </row>
    <row r="17" spans="1:13" x14ac:dyDescent="0.25">
      <c r="A17" s="20"/>
      <c r="B17" s="26" t="s">
        <v>116</v>
      </c>
      <c r="C17" s="26"/>
      <c r="D17" s="26"/>
      <c r="E17" s="112"/>
      <c r="F17" s="112"/>
      <c r="G17" s="112"/>
      <c r="H17" s="112"/>
      <c r="I17" s="112">
        <f>Assumptions!I73</f>
        <v>-128.64500000000001</v>
      </c>
      <c r="J17" s="112">
        <f>Assumptions!J73</f>
        <v>-136.75475000000003</v>
      </c>
      <c r="K17" s="112">
        <f>Assumptions!K73</f>
        <v>-145.09384499999999</v>
      </c>
      <c r="L17" s="112">
        <f>Assumptions!L73</f>
        <v>-155.46366940000004</v>
      </c>
      <c r="M17" s="112">
        <f>Assumptions!M73</f>
        <v>-158.08915274075</v>
      </c>
    </row>
    <row r="18" spans="1:13" x14ac:dyDescent="0.25">
      <c r="A18" s="20"/>
      <c r="B18" s="27" t="s">
        <v>47</v>
      </c>
      <c r="C18" s="27"/>
      <c r="D18" s="27"/>
      <c r="E18" s="84"/>
      <c r="F18" s="84"/>
      <c r="G18" s="84"/>
      <c r="H18" s="84">
        <f>BS!H38</f>
        <v>257.29000000000002</v>
      </c>
      <c r="I18" s="84">
        <f>SUM(I15:I17)</f>
        <v>248.64500000000001</v>
      </c>
      <c r="J18" s="84">
        <f t="shared" ref="J18:M18" si="5">SUM(J15:J17)</f>
        <v>241.82307499999999</v>
      </c>
      <c r="K18" s="84">
        <f t="shared" si="5"/>
        <v>239.17487600000004</v>
      </c>
      <c r="L18" s="84">
        <f t="shared" si="5"/>
        <v>225.84164677250001</v>
      </c>
      <c r="M18" s="84">
        <f t="shared" si="5"/>
        <v>203.70772847895003</v>
      </c>
    </row>
    <row r="19" spans="1:13" x14ac:dyDescent="0.25">
      <c r="A19" s="20"/>
      <c r="B19" s="20"/>
      <c r="C19" s="20"/>
      <c r="D19" s="20"/>
      <c r="E19" s="20"/>
      <c r="F19" s="20"/>
      <c r="G19" s="116"/>
      <c r="H19" s="116"/>
      <c r="I19" s="20"/>
      <c r="J19" s="20"/>
      <c r="K19" s="20"/>
      <c r="L19" s="20"/>
      <c r="M19" s="20"/>
    </row>
    <row r="20" spans="1:13" x14ac:dyDescent="0.25">
      <c r="A20" s="20"/>
      <c r="B20" s="20" t="s">
        <v>117</v>
      </c>
      <c r="C20" s="20"/>
      <c r="D20" s="20"/>
      <c r="E20" s="83"/>
      <c r="F20" s="83"/>
      <c r="G20" s="83"/>
      <c r="H20" s="83"/>
      <c r="I20" s="83">
        <f t="shared" ref="I20" si="6">AVERAGE(H18:I18)</f>
        <v>252.96750000000003</v>
      </c>
      <c r="J20" s="83">
        <f t="shared" ref="J20" si="7">AVERAGE(I18:J18)</f>
        <v>245.2340375</v>
      </c>
      <c r="K20" s="83">
        <f t="shared" ref="K20" si="8">AVERAGE(J18:K18)</f>
        <v>240.49897550000003</v>
      </c>
      <c r="L20" s="83">
        <f t="shared" ref="L20" si="9">AVERAGE(K18:L18)</f>
        <v>232.50826138625001</v>
      </c>
      <c r="M20" s="83">
        <f t="shared" ref="M20" si="10">AVERAGE(L18:M18)</f>
        <v>214.77468762572502</v>
      </c>
    </row>
    <row r="21" spans="1:13" x14ac:dyDescent="0.25">
      <c r="A21" s="20"/>
      <c r="B21" s="20" t="s">
        <v>118</v>
      </c>
      <c r="C21" s="20"/>
      <c r="D21" s="20"/>
      <c r="E21" s="83"/>
      <c r="F21" s="83"/>
      <c r="G21" s="83"/>
      <c r="H21" s="83"/>
      <c r="I21" s="118">
        <f>I11</f>
        <v>9.76326E-2</v>
      </c>
      <c r="J21" s="118">
        <f t="shared" ref="J21:M21" si="11">J11</f>
        <v>9.76326E-2</v>
      </c>
      <c r="K21" s="118">
        <f t="shared" si="11"/>
        <v>9.76326E-2</v>
      </c>
      <c r="L21" s="118">
        <f t="shared" si="11"/>
        <v>9.76326E-2</v>
      </c>
      <c r="M21" s="118">
        <f t="shared" si="11"/>
        <v>9.76326E-2</v>
      </c>
    </row>
    <row r="22" spans="1:13" x14ac:dyDescent="0.25">
      <c r="A22" s="20"/>
      <c r="B22" s="20" t="s">
        <v>119</v>
      </c>
      <c r="C22" s="20"/>
      <c r="D22" s="20"/>
      <c r="E22" s="83"/>
      <c r="F22" s="83"/>
      <c r="G22" s="83"/>
      <c r="H22" s="83"/>
      <c r="I22" s="83">
        <f>I21*I20</f>
        <v>24.697874740500001</v>
      </c>
      <c r="J22" s="83">
        <f>J21*J20</f>
        <v>23.942836689622499</v>
      </c>
      <c r="K22" s="83">
        <f>K21*K20</f>
        <v>23.480540275401303</v>
      </c>
      <c r="L22" s="83">
        <f>L21*L20</f>
        <v>22.700386080619193</v>
      </c>
      <c r="M22" s="83">
        <f>M21*M20</f>
        <v>20.969011167087359</v>
      </c>
    </row>
    <row r="23" spans="1:13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spans="1:13" x14ac:dyDescent="0.25">
      <c r="A24" s="1" t="s">
        <v>35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79"/>
      <c r="M24" s="20"/>
    </row>
    <row r="25" spans="1:13" x14ac:dyDescent="0.25">
      <c r="A25" s="20"/>
      <c r="B25" s="20" t="s">
        <v>46</v>
      </c>
      <c r="C25" s="20"/>
      <c r="D25" s="20"/>
      <c r="E25" s="83"/>
      <c r="F25" s="83"/>
      <c r="G25" s="83"/>
      <c r="H25" s="83"/>
      <c r="I25" s="83">
        <f>H29</f>
        <v>56.47</v>
      </c>
      <c r="J25" s="83">
        <f t="shared" ref="J25:M25" si="12">I29</f>
        <v>41.422899999999998</v>
      </c>
      <c r="K25" s="83">
        <f t="shared" si="12"/>
        <v>25.322502999999998</v>
      </c>
      <c r="L25" s="83">
        <f t="shared" si="12"/>
        <v>8.0950782099999969</v>
      </c>
      <c r="M25" s="83">
        <f t="shared" si="12"/>
        <v>0</v>
      </c>
    </row>
    <row r="26" spans="1:13" x14ac:dyDescent="0.25">
      <c r="A26" s="20"/>
      <c r="B26" s="20" t="s">
        <v>304</v>
      </c>
      <c r="C26" s="20"/>
      <c r="D26" s="20"/>
      <c r="E26" s="83"/>
      <c r="F26" s="83"/>
      <c r="G26" s="83"/>
      <c r="H26" s="83"/>
      <c r="I26" s="83">
        <f>Assumptions!I78*I25</f>
        <v>3.9529000000000001</v>
      </c>
      <c r="J26" s="83">
        <f>Assumptions!J78*J25</f>
        <v>2.8996030000000004</v>
      </c>
      <c r="K26" s="83">
        <f>Assumptions!K78*K25</f>
        <v>1.7725752100000001</v>
      </c>
      <c r="L26" s="83">
        <f>Assumptions!L78*L25</f>
        <v>0.56665547469999988</v>
      </c>
      <c r="M26" s="83">
        <f>Assumptions!M78*M25</f>
        <v>0</v>
      </c>
    </row>
    <row r="27" spans="1:13" x14ac:dyDescent="0.25">
      <c r="A27" s="20"/>
      <c r="B27" s="20" t="s">
        <v>305</v>
      </c>
      <c r="C27" s="20"/>
      <c r="D27" s="20"/>
      <c r="E27" s="111"/>
      <c r="F27" s="111"/>
      <c r="G27" s="111"/>
      <c r="H27" s="111"/>
      <c r="I27" s="111">
        <f>Assumptions!I77</f>
        <v>19</v>
      </c>
      <c r="J27" s="111">
        <f>Assumptions!J77</f>
        <v>19</v>
      </c>
      <c r="K27" s="111">
        <f>Assumptions!K77</f>
        <v>19</v>
      </c>
      <c r="L27" s="111">
        <f>Assumptions!L77</f>
        <v>8.6617336846999962</v>
      </c>
      <c r="M27" s="111">
        <f>Assumptions!M77</f>
        <v>0</v>
      </c>
    </row>
    <row r="28" spans="1:13" x14ac:dyDescent="0.25">
      <c r="A28" s="20"/>
      <c r="B28" s="20" t="s">
        <v>306</v>
      </c>
      <c r="C28" s="20"/>
      <c r="D28" s="20"/>
      <c r="E28" s="111"/>
      <c r="F28" s="111"/>
      <c r="G28" s="111"/>
      <c r="H28" s="111"/>
      <c r="I28" s="111">
        <f>I27-I26</f>
        <v>15.0471</v>
      </c>
      <c r="J28" s="111">
        <f t="shared" ref="J28:M28" si="13">J27-J26</f>
        <v>16.100397000000001</v>
      </c>
      <c r="K28" s="111">
        <f t="shared" si="13"/>
        <v>17.227424790000001</v>
      </c>
      <c r="L28" s="111">
        <f>L27-L26</f>
        <v>8.0950782099999969</v>
      </c>
      <c r="M28" s="111">
        <f t="shared" si="13"/>
        <v>0</v>
      </c>
    </row>
    <row r="29" spans="1:13" x14ac:dyDescent="0.25">
      <c r="A29" s="20"/>
      <c r="B29" s="34" t="s">
        <v>47</v>
      </c>
      <c r="C29" s="34"/>
      <c r="D29" s="34"/>
      <c r="E29" s="115"/>
      <c r="F29" s="115"/>
      <c r="G29" s="115"/>
      <c r="H29" s="115">
        <f>BS!H37</f>
        <v>56.47</v>
      </c>
      <c r="I29" s="115">
        <f t="shared" ref="I29:K29" si="14">MAX(0,I25-I28)</f>
        <v>41.422899999999998</v>
      </c>
      <c r="J29" s="115">
        <f t="shared" si="14"/>
        <v>25.322502999999998</v>
      </c>
      <c r="K29" s="115">
        <f t="shared" si="14"/>
        <v>8.0950782099999969</v>
      </c>
      <c r="L29" s="115">
        <f>MAX(0,L25-L28)</f>
        <v>0</v>
      </c>
      <c r="M29" s="115">
        <f>MAX(0,M25-M28)</f>
        <v>0</v>
      </c>
    </row>
    <row r="30" spans="1:13" x14ac:dyDescent="0.25">
      <c r="A30" s="20"/>
      <c r="B30" s="20"/>
      <c r="C30" s="20"/>
      <c r="D30" s="20"/>
      <c r="E30" s="111"/>
      <c r="F30" s="111"/>
      <c r="G30" s="111"/>
      <c r="H30" s="111"/>
      <c r="I30" s="111"/>
      <c r="J30" s="111"/>
      <c r="K30" s="111"/>
      <c r="L30" s="111"/>
      <c r="M30" s="111"/>
    </row>
    <row r="31" spans="1:13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spans="1:13" x14ac:dyDescent="0.25">
      <c r="A32" s="27"/>
      <c r="B32" s="29" t="s">
        <v>120</v>
      </c>
      <c r="C32" s="29"/>
      <c r="D32" s="29"/>
      <c r="E32" s="113"/>
      <c r="F32" s="113"/>
      <c r="G32" s="113"/>
      <c r="H32" s="113"/>
      <c r="I32" s="114">
        <f>I12+I22+I26</f>
        <v>72.520785819091628</v>
      </c>
      <c r="J32" s="114">
        <f t="shared" ref="J32:M32" si="15">J12+J22+J26</f>
        <v>69.810572434612908</v>
      </c>
      <c r="K32" s="114">
        <f t="shared" si="15"/>
        <v>69.92185459195089</v>
      </c>
      <c r="L32" s="114">
        <f t="shared" si="15"/>
        <v>72.008551309773111</v>
      </c>
      <c r="M32" s="114">
        <f t="shared" si="15"/>
        <v>75.038775008487264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E6B0-F9DD-47B0-94DD-B30858806BD6}">
  <dimension ref="A1:Z65"/>
  <sheetViews>
    <sheetView showGridLines="0" zoomScale="84" workbookViewId="0">
      <pane xSplit="3" ySplit="2" topLeftCell="E25" activePane="bottomRight" state="frozen"/>
      <selection pane="topRight" activeCell="D1" sqref="D1"/>
      <selection pane="bottomLeft" activeCell="A3" sqref="A3"/>
      <selection pane="bottomRight" activeCell="I13" sqref="I13"/>
    </sheetView>
  </sheetViews>
  <sheetFormatPr defaultRowHeight="13.2" x14ac:dyDescent="0.25"/>
  <cols>
    <col min="1" max="1" width="4.5546875" customWidth="1"/>
    <col min="2" max="2" width="32.33203125" customWidth="1"/>
    <col min="3" max="3" width="8.88671875" style="61"/>
    <col min="4" max="4" width="4.109375" customWidth="1"/>
    <col min="5" max="13" width="14.109375" customWidth="1"/>
    <col min="16" max="19" width="14.109375" style="17" customWidth="1"/>
    <col min="22" max="22" width="22.21875" customWidth="1"/>
    <col min="23" max="25" width="9" bestFit="1" customWidth="1"/>
    <col min="26" max="26" width="9.21875" bestFit="1" customWidth="1"/>
  </cols>
  <sheetData>
    <row r="1" spans="1:26" x14ac:dyDescent="0.25">
      <c r="A1" s="2"/>
      <c r="B1" s="2"/>
      <c r="C1" s="57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6" x14ac:dyDescent="0.25">
      <c r="A2" s="3" t="s">
        <v>33</v>
      </c>
      <c r="B2" s="2"/>
      <c r="C2" s="57"/>
      <c r="D2" s="2"/>
      <c r="E2" s="4">
        <v>45016</v>
      </c>
      <c r="F2" s="5">
        <f>EOMONTH(E2,12)</f>
        <v>45382</v>
      </c>
      <c r="G2" s="5">
        <f t="shared" ref="G2:M2" si="0">EOMONTH(F2,12)</f>
        <v>45747</v>
      </c>
      <c r="H2" s="21">
        <f t="shared" si="0"/>
        <v>46112</v>
      </c>
      <c r="I2" s="6">
        <f t="shared" si="0"/>
        <v>46477</v>
      </c>
      <c r="J2" s="6">
        <f t="shared" si="0"/>
        <v>46843</v>
      </c>
      <c r="K2" s="6">
        <f t="shared" si="0"/>
        <v>47208</v>
      </c>
      <c r="L2" s="6">
        <f t="shared" si="0"/>
        <v>47573</v>
      </c>
      <c r="M2" s="6">
        <f t="shared" si="0"/>
        <v>47938</v>
      </c>
      <c r="P2" s="38" t="s">
        <v>50</v>
      </c>
      <c r="Q2" s="38" t="s">
        <v>51</v>
      </c>
      <c r="R2" s="38" t="s">
        <v>52</v>
      </c>
      <c r="S2" s="38" t="s">
        <v>53</v>
      </c>
    </row>
    <row r="3" spans="1:26" x14ac:dyDescent="0.25">
      <c r="A3" s="12"/>
      <c r="B3" s="12"/>
      <c r="C3" s="58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26" x14ac:dyDescent="0.25">
      <c r="A4" s="13" t="s">
        <v>3</v>
      </c>
      <c r="B4" s="2"/>
      <c r="C4" s="57"/>
      <c r="D4" s="2"/>
      <c r="E4" s="2"/>
      <c r="F4" s="2"/>
      <c r="G4" s="2"/>
      <c r="H4" s="2"/>
      <c r="I4" s="2"/>
      <c r="J4" s="2"/>
      <c r="K4" s="2"/>
      <c r="L4" s="2"/>
      <c r="M4" s="2"/>
    </row>
    <row r="5" spans="1:26" x14ac:dyDescent="0.25">
      <c r="A5" s="2"/>
      <c r="B5" t="s">
        <v>0</v>
      </c>
      <c r="C5" s="57"/>
      <c r="D5" s="2"/>
      <c r="E5" s="7">
        <v>4213.16</v>
      </c>
      <c r="F5" s="7">
        <v>4479.96</v>
      </c>
      <c r="G5" s="7">
        <v>4266.12</v>
      </c>
      <c r="H5" s="11">
        <f t="shared" ref="H5:H7" si="1">SUM(P5:S5)</f>
        <v>4914.0228127476612</v>
      </c>
      <c r="I5" s="11">
        <f>Assumptions!I8</f>
        <v>5743.1546304600015</v>
      </c>
      <c r="J5" s="11">
        <f>Assumptions!J8</f>
        <v>6679.381880746927</v>
      </c>
      <c r="K5" s="11">
        <f>Assumptions!K8</f>
        <v>7529.2093938348598</v>
      </c>
      <c r="L5" s="11">
        <f>Assumptions!L8</f>
        <v>8527.6931580134278</v>
      </c>
      <c r="M5" s="11">
        <f>Assumptions!M8</f>
        <v>9704.4905874182659</v>
      </c>
      <c r="P5" s="39">
        <v>1137.9257356040807</v>
      </c>
      <c r="Q5" s="39">
        <v>1136.5499739482339</v>
      </c>
      <c r="R5" s="39">
        <v>1233.1949822949161</v>
      </c>
      <c r="S5" s="39">
        <v>1406.35212090043</v>
      </c>
    </row>
    <row r="6" spans="1:26" x14ac:dyDescent="0.25">
      <c r="A6" s="2"/>
      <c r="B6" t="s">
        <v>1</v>
      </c>
      <c r="C6" s="57"/>
      <c r="D6" s="2"/>
      <c r="E6" s="7">
        <v>29.9</v>
      </c>
      <c r="F6" s="7">
        <v>102.66</v>
      </c>
      <c r="G6" s="7">
        <v>137.91999999999999</v>
      </c>
      <c r="H6" s="11">
        <f t="shared" si="1"/>
        <v>158.86614214653065</v>
      </c>
      <c r="I6" s="11">
        <f>Assumptions!I9</f>
        <v>231.00957172800003</v>
      </c>
      <c r="J6" s="11">
        <f>Assumptions!J9</f>
        <v>315.20678538356287</v>
      </c>
      <c r="K6" s="11">
        <f>Assumptions!K9</f>
        <v>408.36389932663644</v>
      </c>
      <c r="L6" s="11">
        <f>Assumptions!L9</f>
        <v>523.29026196900588</v>
      </c>
      <c r="M6" s="11">
        <f>Assumptions!M9</f>
        <v>665.45078313725242</v>
      </c>
      <c r="P6" s="39">
        <v>36.788162886771772</v>
      </c>
      <c r="Q6" s="39">
        <v>36.743685692606022</v>
      </c>
      <c r="R6" s="39">
        <v>39.868135907596326</v>
      </c>
      <c r="S6" s="39">
        <v>45.466157659556529</v>
      </c>
    </row>
    <row r="7" spans="1:26" x14ac:dyDescent="0.25">
      <c r="A7" s="2"/>
      <c r="B7" t="s">
        <v>2</v>
      </c>
      <c r="C7" s="57"/>
      <c r="D7" s="2"/>
      <c r="E7" s="8">
        <v>408.09</v>
      </c>
      <c r="F7" s="8">
        <v>394.68</v>
      </c>
      <c r="G7" s="8">
        <v>340.36</v>
      </c>
      <c r="H7" s="11">
        <f t="shared" si="1"/>
        <v>392.05104510580901</v>
      </c>
      <c r="I7" s="11">
        <f>Assumptions!I10</f>
        <v>442.76834581200012</v>
      </c>
      <c r="J7" s="11">
        <f>Assumptions!J10</f>
        <v>510.3347953829113</v>
      </c>
      <c r="K7" s="11">
        <f>Assumptions!K10</f>
        <v>570.00794281009678</v>
      </c>
      <c r="L7" s="11">
        <f>Assumptions!L10</f>
        <v>639.57698685100718</v>
      </c>
      <c r="M7" s="11">
        <f>Assumptions!M10</f>
        <v>720.90501506535691</v>
      </c>
      <c r="P7" s="40">
        <v>90.786101509147642</v>
      </c>
      <c r="Q7" s="40">
        <v>90.676340359160292</v>
      </c>
      <c r="R7" s="40">
        <v>98.38688179748759</v>
      </c>
      <c r="S7" s="40">
        <v>112.2017214400135</v>
      </c>
    </row>
    <row r="8" spans="1:26" x14ac:dyDescent="0.25">
      <c r="A8" s="2"/>
      <c r="B8" s="9" t="s">
        <v>19</v>
      </c>
      <c r="C8" s="59"/>
      <c r="D8" s="10"/>
      <c r="E8" s="31">
        <f>SUM(E5:E7)</f>
        <v>4651.1499999999996</v>
      </c>
      <c r="F8" s="31">
        <f>SUM(F5:F7)</f>
        <v>4977.3</v>
      </c>
      <c r="G8" s="31">
        <f>SUM(G5:G7)</f>
        <v>4744.3999999999996</v>
      </c>
      <c r="H8" s="31">
        <f>SUM(H5:H7)</f>
        <v>5464.9400000000005</v>
      </c>
      <c r="I8" s="31">
        <f t="shared" ref="I8:M8" si="2">SUM(I5:I7)</f>
        <v>6416.9325480000016</v>
      </c>
      <c r="J8" s="31">
        <f t="shared" si="2"/>
        <v>7504.9234615134019</v>
      </c>
      <c r="K8" s="31">
        <f t="shared" si="2"/>
        <v>8507.5812359715928</v>
      </c>
      <c r="L8" s="31">
        <f t="shared" si="2"/>
        <v>9690.5604068334414</v>
      </c>
      <c r="M8" s="31">
        <f t="shared" si="2"/>
        <v>11090.846385620875</v>
      </c>
      <c r="P8" s="41">
        <v>1265.5</v>
      </c>
      <c r="Q8" s="41">
        <v>1263.97</v>
      </c>
      <c r="R8" s="41">
        <v>1371.45</v>
      </c>
      <c r="S8" s="41">
        <v>1564.02</v>
      </c>
    </row>
    <row r="9" spans="1:26" x14ac:dyDescent="0.25">
      <c r="A9" s="2"/>
      <c r="B9" s="2"/>
      <c r="C9" s="57"/>
      <c r="D9" s="2"/>
      <c r="E9" s="2"/>
      <c r="F9" s="2"/>
      <c r="G9" s="2"/>
      <c r="H9" s="11"/>
      <c r="I9" s="11"/>
      <c r="J9" s="11"/>
      <c r="K9" s="11"/>
      <c r="L9" s="11"/>
      <c r="M9" s="11"/>
      <c r="P9" s="46"/>
      <c r="Q9" s="16"/>
      <c r="R9" s="16"/>
      <c r="S9" s="16"/>
      <c r="W9" s="47"/>
      <c r="X9" s="47"/>
      <c r="Y9" s="47"/>
      <c r="Z9" s="47"/>
    </row>
    <row r="10" spans="1:26" x14ac:dyDescent="0.25">
      <c r="A10" s="1" t="s">
        <v>9</v>
      </c>
      <c r="B10" s="2"/>
      <c r="C10" s="57"/>
      <c r="D10" s="2"/>
      <c r="E10" s="2"/>
      <c r="F10" s="2"/>
      <c r="G10" s="2"/>
      <c r="H10" s="11"/>
      <c r="I10" s="11"/>
      <c r="J10" s="11"/>
      <c r="K10" s="11"/>
      <c r="L10" s="11"/>
      <c r="M10" s="11"/>
      <c r="P10" s="16"/>
      <c r="Q10" s="16"/>
      <c r="R10" s="16"/>
      <c r="S10" s="16"/>
      <c r="W10" s="47"/>
      <c r="X10" s="47"/>
      <c r="Y10" s="47"/>
      <c r="Z10" s="47"/>
    </row>
    <row r="11" spans="1:26" x14ac:dyDescent="0.25">
      <c r="A11" s="2"/>
      <c r="B11" s="2" t="s">
        <v>10</v>
      </c>
      <c r="C11" s="57"/>
      <c r="D11" s="2"/>
      <c r="E11" s="7">
        <v>3478.58</v>
      </c>
      <c r="F11" s="7">
        <v>3588.29</v>
      </c>
      <c r="G11" s="7">
        <v>3260.8</v>
      </c>
      <c r="H11" s="11">
        <f t="shared" ref="H11:H26" si="3">SUM(P11:S11)</f>
        <v>3740.04</v>
      </c>
      <c r="I11" s="11">
        <f>Assumptions!I28</f>
        <v>4376.3479977360012</v>
      </c>
      <c r="J11" s="11">
        <f>Assumptions!J28</f>
        <v>5103.3479538291131</v>
      </c>
      <c r="K11" s="11">
        <f>Assumptions!K28</f>
        <v>5768.1400779887399</v>
      </c>
      <c r="L11" s="11">
        <f>Assumptions!L28</f>
        <v>6550.8188350194068</v>
      </c>
      <c r="M11" s="11">
        <f>Assumptions!M28</f>
        <v>7475.2304639084696</v>
      </c>
      <c r="P11" s="39">
        <v>841.31</v>
      </c>
      <c r="Q11" s="39">
        <v>938.47</v>
      </c>
      <c r="R11" s="39">
        <v>932.26</v>
      </c>
      <c r="S11" s="39">
        <v>1028</v>
      </c>
      <c r="W11" s="47"/>
      <c r="X11" s="47"/>
      <c r="Y11" s="47"/>
      <c r="Z11" s="47"/>
    </row>
    <row r="12" spans="1:26" x14ac:dyDescent="0.25">
      <c r="A12" s="2"/>
      <c r="B12" s="2" t="s">
        <v>20</v>
      </c>
      <c r="C12" s="57"/>
      <c r="D12" s="2"/>
      <c r="E12" s="7">
        <v>-53.6</v>
      </c>
      <c r="F12" s="7">
        <v>19.71</v>
      </c>
      <c r="G12" s="7">
        <v>50.6</v>
      </c>
      <c r="H12" s="11">
        <f t="shared" si="3"/>
        <v>-4.3099999999999987</v>
      </c>
      <c r="I12" s="11">
        <f>Assumptions!I29</f>
        <v>10</v>
      </c>
      <c r="J12" s="11">
        <f>Assumptions!J29</f>
        <v>12</v>
      </c>
      <c r="K12" s="11">
        <f>Assumptions!K29</f>
        <v>14</v>
      </c>
      <c r="L12" s="11">
        <f>Assumptions!L29</f>
        <v>15</v>
      </c>
      <c r="M12" s="11">
        <f>Assumptions!M29</f>
        <v>16</v>
      </c>
      <c r="P12" s="39">
        <v>31.82</v>
      </c>
      <c r="Q12" s="39">
        <v>-77.5</v>
      </c>
      <c r="R12" s="39">
        <v>20.68</v>
      </c>
      <c r="S12" s="39">
        <v>20.69</v>
      </c>
      <c r="W12" s="47"/>
      <c r="X12" s="47"/>
      <c r="Y12" s="47"/>
      <c r="Z12" s="47"/>
    </row>
    <row r="13" spans="1:26" x14ac:dyDescent="0.25">
      <c r="A13" s="2"/>
      <c r="B13" t="s">
        <v>5</v>
      </c>
      <c r="C13" s="57"/>
      <c r="D13" s="2"/>
      <c r="E13" s="7">
        <v>445.9</v>
      </c>
      <c r="F13" s="7">
        <v>512.99</v>
      </c>
      <c r="G13" s="7">
        <v>507.06</v>
      </c>
      <c r="H13" s="11">
        <f t="shared" si="3"/>
        <v>591.06000000000006</v>
      </c>
      <c r="I13" s="11">
        <f>Assumptions!I30</f>
        <v>693.02871518400013</v>
      </c>
      <c r="J13" s="11">
        <f>Assumptions!J30</f>
        <v>818.03665730496073</v>
      </c>
      <c r="K13" s="11">
        <f>Assumptions!K30</f>
        <v>927.32635472090362</v>
      </c>
      <c r="L13" s="11">
        <f>Assumptions!L30</f>
        <v>1065.9616447516785</v>
      </c>
      <c r="M13" s="11">
        <f>Assumptions!M30</f>
        <v>1219.9931024182963</v>
      </c>
      <c r="P13" s="39">
        <v>140.11000000000001</v>
      </c>
      <c r="Q13" s="39">
        <v>146.68</v>
      </c>
      <c r="R13" s="39">
        <v>151.68</v>
      </c>
      <c r="S13" s="39">
        <v>152.59</v>
      </c>
      <c r="W13" s="47"/>
      <c r="X13" s="47"/>
      <c r="Y13" s="47"/>
      <c r="Z13" s="47"/>
    </row>
    <row r="14" spans="1:26" x14ac:dyDescent="0.25">
      <c r="A14" s="2"/>
      <c r="B14" t="s">
        <v>6</v>
      </c>
      <c r="C14" s="57"/>
      <c r="D14" s="2"/>
      <c r="E14" s="7">
        <v>561.79</v>
      </c>
      <c r="F14" s="7">
        <v>590.44000000000005</v>
      </c>
      <c r="G14" s="7">
        <v>573.45000000000005</v>
      </c>
      <c r="H14" s="11">
        <f t="shared" si="3"/>
        <v>725.33</v>
      </c>
      <c r="I14" s="11">
        <f>Assumptions!I31</f>
        <v>821.36736614400024</v>
      </c>
      <c r="J14" s="11">
        <f>Assumptions!J31</f>
        <v>945.62035615068851</v>
      </c>
      <c r="K14" s="11">
        <f>Assumptions!K31</f>
        <v>1054.9400732604774</v>
      </c>
      <c r="L14" s="11">
        <f>Assumptions!L31</f>
        <v>1182.2483696336799</v>
      </c>
      <c r="M14" s="11">
        <f>Assumptions!M31</f>
        <v>1330.9015662745048</v>
      </c>
      <c r="P14" s="39">
        <v>158.61000000000001</v>
      </c>
      <c r="Q14" s="39">
        <v>163.72</v>
      </c>
      <c r="R14" s="39">
        <v>166.62</v>
      </c>
      <c r="S14" s="39">
        <v>236.38</v>
      </c>
      <c r="W14" s="47"/>
      <c r="X14" s="47"/>
      <c r="Y14" s="47"/>
      <c r="Z14" s="47"/>
    </row>
    <row r="15" spans="1:26" x14ac:dyDescent="0.25">
      <c r="A15" s="2"/>
      <c r="B15" s="9" t="s">
        <v>11</v>
      </c>
      <c r="C15" s="59"/>
      <c r="D15" s="10"/>
      <c r="E15" s="31">
        <f>SUM(E11:E14)</f>
        <v>4432.67</v>
      </c>
      <c r="F15" s="31">
        <f>SUM(F11:F14)</f>
        <v>4711.43</v>
      </c>
      <c r="G15" s="31">
        <f>SUM(G11:G14)</f>
        <v>4391.91</v>
      </c>
      <c r="H15" s="31">
        <f>SUM(H11:H14)</f>
        <v>5052.12</v>
      </c>
      <c r="I15" s="31">
        <f t="shared" ref="I15:M15" si="4">SUM(I11:I14)</f>
        <v>5900.7440790640012</v>
      </c>
      <c r="J15" s="31">
        <f t="shared" si="4"/>
        <v>6879.0049672847617</v>
      </c>
      <c r="K15" s="31">
        <f t="shared" si="4"/>
        <v>7764.4065059701206</v>
      </c>
      <c r="L15" s="31">
        <f t="shared" si="4"/>
        <v>8814.0288494047654</v>
      </c>
      <c r="M15" s="31">
        <f t="shared" si="4"/>
        <v>10042.12513260127</v>
      </c>
      <c r="P15" s="41">
        <f t="shared" ref="P15:S15" si="5">SUM(P11:P14)</f>
        <v>1171.8499999999999</v>
      </c>
      <c r="Q15" s="41">
        <f t="shared" si="5"/>
        <v>1171.3700000000001</v>
      </c>
      <c r="R15" s="41">
        <f t="shared" si="5"/>
        <v>1271.2399999999998</v>
      </c>
      <c r="S15" s="41">
        <f t="shared" si="5"/>
        <v>1437.6599999999999</v>
      </c>
    </row>
    <row r="16" spans="1:26" x14ac:dyDescent="0.25">
      <c r="A16" s="2"/>
      <c r="B16" s="2"/>
      <c r="C16" s="57"/>
      <c r="D16" s="2"/>
      <c r="E16" s="2"/>
      <c r="F16" s="2"/>
      <c r="G16" s="2"/>
      <c r="H16" s="11"/>
      <c r="I16" s="11"/>
      <c r="J16" s="11"/>
      <c r="K16" s="11"/>
      <c r="L16" s="11"/>
      <c r="M16" s="11"/>
      <c r="P16" s="16"/>
      <c r="Q16" s="16"/>
      <c r="R16" s="16"/>
      <c r="S16" s="16"/>
    </row>
    <row r="17" spans="1:19" x14ac:dyDescent="0.25">
      <c r="A17" s="1" t="s">
        <v>12</v>
      </c>
      <c r="B17" s="2"/>
      <c r="C17" s="57"/>
      <c r="D17" s="2"/>
      <c r="E17" s="50">
        <f>E8-E15</f>
        <v>218.47999999999956</v>
      </c>
      <c r="F17" s="50">
        <f>F8-F15</f>
        <v>265.86999999999989</v>
      </c>
      <c r="G17" s="50">
        <f>G8-G15</f>
        <v>352.48999999999978</v>
      </c>
      <c r="H17" s="50">
        <f t="shared" ref="H17:M17" si="6">H8-H15</f>
        <v>412.82000000000062</v>
      </c>
      <c r="I17" s="50">
        <f t="shared" si="6"/>
        <v>516.18846893600039</v>
      </c>
      <c r="J17" s="50">
        <f t="shared" si="6"/>
        <v>625.91849422864016</v>
      </c>
      <c r="K17" s="50">
        <f t="shared" si="6"/>
        <v>743.1747300014722</v>
      </c>
      <c r="L17" s="50">
        <f t="shared" si="6"/>
        <v>876.53155742867602</v>
      </c>
      <c r="M17" s="50">
        <f t="shared" si="6"/>
        <v>1048.7212530196048</v>
      </c>
      <c r="P17" s="51">
        <f t="shared" ref="P17:S17" si="7">P8-P15</f>
        <v>93.650000000000091</v>
      </c>
      <c r="Q17" s="51">
        <f t="shared" si="7"/>
        <v>92.599999999999909</v>
      </c>
      <c r="R17" s="51">
        <f t="shared" si="7"/>
        <v>100.21000000000026</v>
      </c>
      <c r="S17" s="51">
        <f t="shared" si="7"/>
        <v>126.36000000000013</v>
      </c>
    </row>
    <row r="18" spans="1:19" x14ac:dyDescent="0.25">
      <c r="A18" s="56" t="s">
        <v>54</v>
      </c>
      <c r="C18" s="52"/>
      <c r="D18" s="53"/>
      <c r="E18" s="54">
        <f>E17/E8</f>
        <v>4.6973329176655143E-2</v>
      </c>
      <c r="F18" s="54">
        <f t="shared" ref="F18:H18" si="8">F17/F8</f>
        <v>5.3416510959757274E-2</v>
      </c>
      <c r="G18" s="54">
        <f t="shared" si="8"/>
        <v>7.4296012140628906E-2</v>
      </c>
      <c r="H18" s="54">
        <f t="shared" si="8"/>
        <v>7.5539713153300964E-2</v>
      </c>
      <c r="I18" s="54">
        <f t="shared" ref="I18" si="9">I17/I8</f>
        <v>8.04416230145482E-2</v>
      </c>
      <c r="J18" s="54">
        <f t="shared" ref="J18" si="10">J17/J8</f>
        <v>8.340104964940187E-2</v>
      </c>
      <c r="K18" s="54">
        <f t="shared" ref="K18" si="11">K17/K8</f>
        <v>8.7354408895820468E-2</v>
      </c>
      <c r="L18" s="54">
        <f t="shared" ref="L18" si="12">L17/L8</f>
        <v>9.0452101904300281E-2</v>
      </c>
      <c r="M18" s="54">
        <f t="shared" ref="M18" si="13">M17/M8</f>
        <v>9.4557368892896856E-2</v>
      </c>
      <c r="N18" s="53"/>
      <c r="O18" s="53"/>
      <c r="P18" s="55">
        <f t="shared" ref="P18" si="14">P17/P8</f>
        <v>7.4002370604504222E-2</v>
      </c>
      <c r="Q18" s="55">
        <f t="shared" ref="Q18" si="15">Q17/Q8</f>
        <v>7.3261232465960349E-2</v>
      </c>
      <c r="R18" s="55">
        <f t="shared" ref="R18" si="16">R17/R8</f>
        <v>7.3068649969011093E-2</v>
      </c>
      <c r="S18" s="55">
        <f t="shared" ref="S18" si="17">S17/S8</f>
        <v>8.0791805731384586E-2</v>
      </c>
    </row>
    <row r="19" spans="1:19" x14ac:dyDescent="0.25">
      <c r="A19" s="2"/>
      <c r="B19" s="2" t="s">
        <v>13</v>
      </c>
      <c r="C19" s="57"/>
      <c r="D19" s="2"/>
      <c r="E19" s="8">
        <v>72.14</v>
      </c>
      <c r="F19" s="8">
        <v>84.91</v>
      </c>
      <c r="G19" s="8">
        <v>93.22</v>
      </c>
      <c r="H19" s="11">
        <f>SUM(P19:S19)</f>
        <v>115.28</v>
      </c>
      <c r="I19" s="11">
        <f>'Asset Schedule'!I36</f>
        <v>105.0256</v>
      </c>
      <c r="J19" s="11">
        <f>'Asset Schedule'!J36</f>
        <v>116.83767499999999</v>
      </c>
      <c r="K19" s="11">
        <f>'Asset Schedule'!K36</f>
        <v>128.7081455</v>
      </c>
      <c r="L19" s="11">
        <f>'Asset Schedule'!L36</f>
        <v>139.6412562825</v>
      </c>
      <c r="M19" s="11">
        <f>'Asset Schedule'!M36</f>
        <v>149.35234445729998</v>
      </c>
      <c r="P19" s="40">
        <v>26.46</v>
      </c>
      <c r="Q19" s="40">
        <v>27.49</v>
      </c>
      <c r="R19" s="40">
        <v>29.34</v>
      </c>
      <c r="S19" s="40">
        <v>31.99</v>
      </c>
    </row>
    <row r="20" spans="1:19" x14ac:dyDescent="0.25">
      <c r="A20" s="9" t="s">
        <v>14</v>
      </c>
      <c r="B20" s="9"/>
      <c r="C20" s="59"/>
      <c r="D20" s="10"/>
      <c r="E20" s="33">
        <f t="shared" ref="E20:M20" si="18">E17-E19</f>
        <v>146.33999999999958</v>
      </c>
      <c r="F20" s="33">
        <f t="shared" si="18"/>
        <v>180.95999999999989</v>
      </c>
      <c r="G20" s="33">
        <f t="shared" si="18"/>
        <v>259.26999999999975</v>
      </c>
      <c r="H20" s="33">
        <f t="shared" si="18"/>
        <v>297.54000000000065</v>
      </c>
      <c r="I20" s="33">
        <f t="shared" si="18"/>
        <v>411.16286893600039</v>
      </c>
      <c r="J20" s="33">
        <f t="shared" si="18"/>
        <v>509.08081922864017</v>
      </c>
      <c r="K20" s="33">
        <f t="shared" si="18"/>
        <v>614.4665845014722</v>
      </c>
      <c r="L20" s="33">
        <f t="shared" si="18"/>
        <v>736.89030114617606</v>
      </c>
      <c r="M20" s="33">
        <f t="shared" si="18"/>
        <v>899.3689085623048</v>
      </c>
      <c r="P20" s="42">
        <f>P17-P19</f>
        <v>67.190000000000083</v>
      </c>
      <c r="Q20" s="42">
        <f>Q17-Q19</f>
        <v>65.109999999999914</v>
      </c>
      <c r="R20" s="42">
        <f>R17-R19</f>
        <v>70.87000000000026</v>
      </c>
      <c r="S20" s="42">
        <f>S17-S19</f>
        <v>94.370000000000132</v>
      </c>
    </row>
    <row r="21" spans="1:19" x14ac:dyDescent="0.25">
      <c r="A21" s="56" t="s">
        <v>110</v>
      </c>
      <c r="C21" s="52"/>
      <c r="D21" s="53"/>
      <c r="E21" s="54">
        <f t="shared" ref="E21:M21" si="19">E20/E8</f>
        <v>3.146318652376285E-2</v>
      </c>
      <c r="F21" s="54">
        <f t="shared" si="19"/>
        <v>3.6357061057199665E-2</v>
      </c>
      <c r="G21" s="54">
        <f t="shared" si="19"/>
        <v>5.4647584520698039E-2</v>
      </c>
      <c r="H21" s="54">
        <f t="shared" si="19"/>
        <v>5.444524551047232E-2</v>
      </c>
      <c r="I21" s="54">
        <f t="shared" si="19"/>
        <v>6.4074675222221197E-2</v>
      </c>
      <c r="J21" s="54">
        <f t="shared" si="19"/>
        <v>6.7832912865707182E-2</v>
      </c>
      <c r="K21" s="54">
        <f t="shared" si="19"/>
        <v>7.2225767519373929E-2</v>
      </c>
      <c r="L21" s="54">
        <f t="shared" si="19"/>
        <v>7.6042072925580961E-2</v>
      </c>
      <c r="M21" s="54">
        <f t="shared" si="19"/>
        <v>8.1091097765840836E-2</v>
      </c>
      <c r="P21" s="51"/>
      <c r="Q21" s="51"/>
      <c r="R21" s="51"/>
      <c r="S21" s="51"/>
    </row>
    <row r="22" spans="1:19" x14ac:dyDescent="0.25">
      <c r="A22" s="56"/>
      <c r="C22" s="52"/>
      <c r="D22" s="53"/>
      <c r="E22" s="54"/>
      <c r="F22" s="54"/>
      <c r="G22" s="54"/>
      <c r="H22" s="54"/>
      <c r="I22" s="54"/>
      <c r="J22" s="54"/>
      <c r="K22" s="54"/>
      <c r="L22" s="54"/>
      <c r="M22" s="54"/>
      <c r="P22" s="51"/>
      <c r="Q22" s="51"/>
      <c r="R22" s="51"/>
      <c r="S22" s="51"/>
    </row>
    <row r="23" spans="1:19" x14ac:dyDescent="0.25">
      <c r="A23" s="2"/>
      <c r="B23" s="2" t="s">
        <v>15</v>
      </c>
      <c r="C23" s="57"/>
      <c r="D23" s="2"/>
      <c r="E23" s="14">
        <v>102.87</v>
      </c>
      <c r="F23" s="14">
        <v>122.5</v>
      </c>
      <c r="G23" s="14">
        <v>121.56</v>
      </c>
      <c r="H23" s="11">
        <f t="shared" si="3"/>
        <v>119.76</v>
      </c>
      <c r="I23" s="11">
        <f>'Debt Schedule'!I32</f>
        <v>72.520785819091628</v>
      </c>
      <c r="J23" s="11">
        <f>'Debt Schedule'!J32</f>
        <v>69.810572434612908</v>
      </c>
      <c r="K23" s="11">
        <f>'Debt Schedule'!K32</f>
        <v>69.92185459195089</v>
      </c>
      <c r="L23" s="11">
        <f>'Debt Schedule'!L32</f>
        <v>72.008551309773111</v>
      </c>
      <c r="M23" s="11">
        <f>'Debt Schedule'!M32</f>
        <v>75.038775008487264</v>
      </c>
      <c r="P23" s="43">
        <v>30.73</v>
      </c>
      <c r="Q23" s="43">
        <v>29.58</v>
      </c>
      <c r="R23" s="43">
        <v>30.36</v>
      </c>
      <c r="S23" s="43">
        <v>29.09</v>
      </c>
    </row>
    <row r="24" spans="1:19" x14ac:dyDescent="0.25">
      <c r="A24" s="2"/>
      <c r="B24" s="2" t="s">
        <v>4</v>
      </c>
      <c r="C24" s="57"/>
      <c r="D24" s="2"/>
      <c r="E24" s="15">
        <v>25.770000000000003</v>
      </c>
      <c r="F24" s="15">
        <v>16.39</v>
      </c>
      <c r="G24" s="15">
        <v>11.190000000000001</v>
      </c>
      <c r="H24" s="11">
        <f t="shared" si="3"/>
        <v>22.78</v>
      </c>
      <c r="I24" s="73">
        <v>20</v>
      </c>
      <c r="J24" s="73">
        <v>22</v>
      </c>
      <c r="K24" s="73">
        <v>24</v>
      </c>
      <c r="L24" s="73">
        <v>25</v>
      </c>
      <c r="M24" s="73">
        <v>26</v>
      </c>
      <c r="P24" s="44">
        <v>3.11</v>
      </c>
      <c r="Q24" s="44">
        <v>4.5599999999999996</v>
      </c>
      <c r="R24" s="44">
        <v>6.36</v>
      </c>
      <c r="S24" s="44">
        <v>8.75</v>
      </c>
    </row>
    <row r="25" spans="1:19" x14ac:dyDescent="0.25">
      <c r="A25" s="9" t="s">
        <v>16</v>
      </c>
      <c r="B25" s="9"/>
      <c r="C25" s="59"/>
      <c r="D25" s="10"/>
      <c r="E25" s="31">
        <f>E20-E23+E24</f>
        <v>69.239999999999583</v>
      </c>
      <c r="F25" s="31">
        <f>F20-F23+F24</f>
        <v>74.849999999999895</v>
      </c>
      <c r="G25" s="31">
        <f>G20-G23+G24</f>
        <v>148.89999999999975</v>
      </c>
      <c r="H25" s="31">
        <f t="shared" ref="H25:M25" si="20">H20-H23+H24</f>
        <v>200.56000000000066</v>
      </c>
      <c r="I25" s="31">
        <f t="shared" si="20"/>
        <v>358.64208311690879</v>
      </c>
      <c r="J25" s="31">
        <f t="shared" si="20"/>
        <v>461.27024679402723</v>
      </c>
      <c r="K25" s="31">
        <f t="shared" si="20"/>
        <v>568.54472990952127</v>
      </c>
      <c r="L25" s="31">
        <f t="shared" si="20"/>
        <v>689.88174983640295</v>
      </c>
      <c r="M25" s="31">
        <f t="shared" si="20"/>
        <v>850.33013355381752</v>
      </c>
      <c r="N25" s="1"/>
      <c r="O25" s="1"/>
      <c r="P25" s="41">
        <f t="shared" ref="P25:S25" si="21">P20-P23+P24</f>
        <v>39.570000000000078</v>
      </c>
      <c r="Q25" s="41">
        <f t="shared" si="21"/>
        <v>40.089999999999918</v>
      </c>
      <c r="R25" s="41">
        <f t="shared" si="21"/>
        <v>46.87000000000026</v>
      </c>
      <c r="S25" s="41">
        <f t="shared" si="21"/>
        <v>74.030000000000129</v>
      </c>
    </row>
    <row r="26" spans="1:19" x14ac:dyDescent="0.25">
      <c r="A26" s="2"/>
      <c r="B26" s="2" t="s">
        <v>17</v>
      </c>
      <c r="C26" s="57"/>
      <c r="D26" s="2"/>
      <c r="E26" s="8">
        <v>15.09</v>
      </c>
      <c r="F26" s="8">
        <v>15.95</v>
      </c>
      <c r="G26" s="8">
        <v>36.71</v>
      </c>
      <c r="H26" s="11">
        <f t="shared" si="3"/>
        <v>51.05</v>
      </c>
      <c r="I26" s="11">
        <f>I25*Assumptions!I37</f>
        <v>90.270212320525943</v>
      </c>
      <c r="J26" s="11">
        <f>J25*Assumptions!J37</f>
        <v>116.10172111805664</v>
      </c>
      <c r="K26" s="11">
        <f>K25*Assumptions!K37</f>
        <v>143.10270851822648</v>
      </c>
      <c r="L26" s="11">
        <f>L25*Assumptions!L37</f>
        <v>173.64323643382261</v>
      </c>
      <c r="M26" s="11">
        <f>M25*Assumptions!M37</f>
        <v>214.02809461549586</v>
      </c>
      <c r="P26" s="40">
        <v>10.370000000000001</v>
      </c>
      <c r="Q26" s="40">
        <v>10.52</v>
      </c>
      <c r="R26" s="40">
        <v>11.64</v>
      </c>
      <c r="S26" s="40">
        <v>18.52</v>
      </c>
    </row>
    <row r="27" spans="1:19" ht="13.8" thickBot="1" x14ac:dyDescent="0.3">
      <c r="A27" s="18" t="s">
        <v>18</v>
      </c>
      <c r="B27" s="18"/>
      <c r="C27" s="60"/>
      <c r="D27" s="19"/>
      <c r="E27" s="32">
        <f>E25-E26</f>
        <v>54.149999999999579</v>
      </c>
      <c r="F27" s="32">
        <f>F25-F26</f>
        <v>58.899999999999892</v>
      </c>
      <c r="G27" s="32">
        <f>G25-G26</f>
        <v>112.18999999999974</v>
      </c>
      <c r="H27" s="32">
        <f t="shared" ref="H27:M27" si="22">H25-H26</f>
        <v>149.51000000000067</v>
      </c>
      <c r="I27" s="32">
        <f t="shared" si="22"/>
        <v>268.37187079638284</v>
      </c>
      <c r="J27" s="32">
        <f t="shared" si="22"/>
        <v>345.16852567597061</v>
      </c>
      <c r="K27" s="32">
        <f t="shared" si="22"/>
        <v>425.44202139129482</v>
      </c>
      <c r="L27" s="32">
        <f t="shared" si="22"/>
        <v>516.23851340258034</v>
      </c>
      <c r="M27" s="32">
        <f t="shared" si="22"/>
        <v>636.30203893832163</v>
      </c>
      <c r="N27" s="48"/>
      <c r="O27" s="1"/>
      <c r="P27" s="45">
        <f t="shared" ref="P27:S27" si="23">P25-P26</f>
        <v>29.200000000000077</v>
      </c>
      <c r="Q27" s="45">
        <f t="shared" si="23"/>
        <v>29.569999999999919</v>
      </c>
      <c r="R27" s="45">
        <f t="shared" si="23"/>
        <v>35.23000000000026</v>
      </c>
      <c r="S27" s="45">
        <f t="shared" si="23"/>
        <v>55.510000000000133</v>
      </c>
    </row>
    <row r="28" spans="1:19" ht="13.8" thickTop="1" x14ac:dyDescent="0.25"/>
    <row r="29" spans="1:19" x14ac:dyDescent="0.25">
      <c r="A29" s="165"/>
      <c r="B29" s="165"/>
      <c r="C29" s="166"/>
      <c r="D29" s="165"/>
      <c r="E29" s="165"/>
      <c r="F29" s="165"/>
      <c r="G29" s="165"/>
      <c r="H29" s="165"/>
      <c r="I29" s="165"/>
    </row>
    <row r="30" spans="1:19" x14ac:dyDescent="0.25">
      <c r="A30" s="160" t="s">
        <v>180</v>
      </c>
      <c r="B30" s="161"/>
      <c r="C30" s="162"/>
      <c r="D30" s="161"/>
      <c r="E30" s="161"/>
      <c r="F30" s="163"/>
      <c r="G30" s="163"/>
      <c r="H30" s="164"/>
      <c r="I30" s="161"/>
    </row>
    <row r="31" spans="1:19" x14ac:dyDescent="0.25">
      <c r="A31" t="s">
        <v>181</v>
      </c>
      <c r="C31" s="61" t="s">
        <v>182</v>
      </c>
      <c r="E31" s="82">
        <v>12979.776119402984</v>
      </c>
      <c r="F31" s="82">
        <v>14468.911290322578</v>
      </c>
      <c r="G31" s="82">
        <v>13363.934426229511</v>
      </c>
      <c r="H31" s="82">
        <v>14609.531249999998</v>
      </c>
      <c r="I31" s="156" t="s">
        <v>183</v>
      </c>
    </row>
    <row r="32" spans="1:19" x14ac:dyDescent="0.25">
      <c r="A32" t="s">
        <v>184</v>
      </c>
      <c r="B32" s="120"/>
      <c r="C32" s="157" t="s">
        <v>185</v>
      </c>
      <c r="E32" s="11">
        <f>E17*1000/E31</f>
        <v>16.832339632838654</v>
      </c>
      <c r="F32" s="11">
        <f t="shared" ref="F32:H32" si="24">F17*1000/F31</f>
        <v>18.375259524731831</v>
      </c>
      <c r="G32" s="11">
        <f t="shared" si="24"/>
        <v>26.37621442590773</v>
      </c>
      <c r="H32" s="11">
        <f t="shared" si="24"/>
        <v>28.256895648174932</v>
      </c>
    </row>
    <row r="33" spans="1:12" x14ac:dyDescent="0.25">
      <c r="A33" s="71" t="s">
        <v>186</v>
      </c>
      <c r="C33" s="158" t="s">
        <v>55</v>
      </c>
      <c r="F33" s="159">
        <f>F32/E32-1</f>
        <v>9.1664018523191837E-2</v>
      </c>
      <c r="G33" s="159">
        <f t="shared" ref="G33:H33" si="25">G32/F32-1</f>
        <v>0.43541996728847088</v>
      </c>
      <c r="H33" s="159">
        <f t="shared" si="25"/>
        <v>7.130216610689688E-2</v>
      </c>
    </row>
    <row r="34" spans="1:12" x14ac:dyDescent="0.25">
      <c r="A34" t="s">
        <v>187</v>
      </c>
      <c r="C34" s="61" t="s">
        <v>188</v>
      </c>
      <c r="E34" s="73">
        <v>67000</v>
      </c>
      <c r="F34" s="73">
        <v>62000</v>
      </c>
      <c r="G34" s="73">
        <v>61000</v>
      </c>
      <c r="H34" s="73">
        <v>64000</v>
      </c>
      <c r="I34" s="35" t="s">
        <v>189</v>
      </c>
    </row>
    <row r="35" spans="1:12" x14ac:dyDescent="0.25">
      <c r="A35" s="71" t="s">
        <v>186</v>
      </c>
      <c r="C35" s="158" t="s">
        <v>55</v>
      </c>
      <c r="F35" s="159">
        <f>F34/E34-1</f>
        <v>-7.4626865671641784E-2</v>
      </c>
      <c r="G35" s="159">
        <f t="shared" ref="G35:H35" si="26">G34/F34-1</f>
        <v>-1.6129032258064502E-2</v>
      </c>
      <c r="H35" s="159">
        <f t="shared" si="26"/>
        <v>4.9180327868852514E-2</v>
      </c>
    </row>
    <row r="36" spans="1:12" x14ac:dyDescent="0.25">
      <c r="A36" t="s">
        <v>190</v>
      </c>
      <c r="C36" s="61" t="s">
        <v>191</v>
      </c>
      <c r="E36" s="82">
        <v>389393.28358208953</v>
      </c>
      <c r="F36" s="82">
        <v>434067.33870967734</v>
      </c>
      <c r="G36" s="82">
        <v>400918.03278688533</v>
      </c>
      <c r="H36" s="82">
        <v>438285.93749999994</v>
      </c>
    </row>
    <row r="37" spans="1:12" x14ac:dyDescent="0.25">
      <c r="A37" t="s">
        <v>192</v>
      </c>
      <c r="C37" s="157" t="s">
        <v>111</v>
      </c>
      <c r="E37" s="11">
        <f>0.3*E14</f>
        <v>168.53699999999998</v>
      </c>
      <c r="F37" s="11">
        <f t="shared" ref="F37:H37" si="27">0.3*F14</f>
        <v>177.13200000000001</v>
      </c>
      <c r="G37" s="11">
        <f t="shared" si="27"/>
        <v>172.035</v>
      </c>
      <c r="H37" s="11">
        <f t="shared" si="27"/>
        <v>217.59900000000002</v>
      </c>
    </row>
    <row r="38" spans="1:12" x14ac:dyDescent="0.25">
      <c r="H38" s="119"/>
    </row>
    <row r="39" spans="1:12" x14ac:dyDescent="0.25">
      <c r="H39" s="119"/>
    </row>
    <row r="40" spans="1:12" x14ac:dyDescent="0.25">
      <c r="H40" s="119"/>
    </row>
    <row r="41" spans="1:12" x14ac:dyDescent="0.25">
      <c r="A41" s="165"/>
      <c r="B41" s="165"/>
      <c r="C41" s="166"/>
      <c r="D41" s="165"/>
      <c r="E41" s="165"/>
      <c r="F41" s="165"/>
      <c r="G41" s="165"/>
      <c r="H41" s="165"/>
      <c r="I41" s="165"/>
      <c r="L41" t="s">
        <v>56</v>
      </c>
    </row>
    <row r="42" spans="1:12" x14ac:dyDescent="0.25">
      <c r="A42" s="160" t="s">
        <v>59</v>
      </c>
      <c r="B42" s="161"/>
      <c r="C42" s="162"/>
      <c r="D42" s="161"/>
      <c r="E42" s="161"/>
      <c r="F42" s="163">
        <f>F2</f>
        <v>45382</v>
      </c>
      <c r="G42" s="163">
        <f>G2</f>
        <v>45747</v>
      </c>
      <c r="H42" s="164">
        <f>H2</f>
        <v>46112</v>
      </c>
      <c r="I42" s="161"/>
    </row>
    <row r="44" spans="1:12" x14ac:dyDescent="0.25">
      <c r="B44" s="1" t="s">
        <v>57</v>
      </c>
      <c r="C44" s="64"/>
      <c r="D44" s="64" t="s">
        <v>55</v>
      </c>
      <c r="E44" s="66"/>
      <c r="F44" s="66">
        <f>F8/E8-1</f>
        <v>7.012244283671798E-2</v>
      </c>
      <c r="G44" s="66">
        <f>G8/F8-1</f>
        <v>-4.6792437667008357E-2</v>
      </c>
      <c r="H44" s="66">
        <f>H8/G8-1</f>
        <v>0.15187168029677123</v>
      </c>
    </row>
    <row r="45" spans="1:12" x14ac:dyDescent="0.25">
      <c r="B45" t="s">
        <v>10</v>
      </c>
      <c r="D45" s="61" t="s">
        <v>55</v>
      </c>
      <c r="E45" s="66"/>
      <c r="F45" s="66">
        <f>F11/E11-1</f>
        <v>3.1538731321401281E-2</v>
      </c>
      <c r="G45" s="66">
        <f>G11/F11-1</f>
        <v>-9.1266313480794392E-2</v>
      </c>
      <c r="H45" s="66">
        <f>H11/G11-1</f>
        <v>0.14697006869479878</v>
      </c>
    </row>
    <row r="46" spans="1:12" x14ac:dyDescent="0.25">
      <c r="B46" t="str">
        <f>B13</f>
        <v>Employee benefit expense</v>
      </c>
      <c r="D46" s="61" t="s">
        <v>55</v>
      </c>
      <c r="E46" s="66"/>
      <c r="F46" s="66">
        <f t="shared" ref="F46:H47" si="28">F13/E13-1</f>
        <v>0.15045974433729548</v>
      </c>
      <c r="G46" s="66">
        <f t="shared" si="28"/>
        <v>-1.1559679525916744E-2</v>
      </c>
      <c r="H46" s="66">
        <f t="shared" si="28"/>
        <v>0.16566086853626794</v>
      </c>
    </row>
    <row r="47" spans="1:12" x14ac:dyDescent="0.25">
      <c r="B47" t="str">
        <f>B14</f>
        <v>Other Expenses</v>
      </c>
      <c r="D47" s="61" t="s">
        <v>55</v>
      </c>
      <c r="E47" s="66"/>
      <c r="F47" s="66">
        <f t="shared" si="28"/>
        <v>5.0997703768312252E-2</v>
      </c>
      <c r="G47" s="66">
        <f t="shared" si="28"/>
        <v>-2.8775150735045107E-2</v>
      </c>
      <c r="H47" s="66">
        <f t="shared" si="28"/>
        <v>0.26485308222164083</v>
      </c>
    </row>
    <row r="48" spans="1:12" x14ac:dyDescent="0.25">
      <c r="B48" s="1" t="str">
        <f>A17</f>
        <v>EBITDA</v>
      </c>
      <c r="C48" s="64"/>
      <c r="D48" s="64" t="s">
        <v>55</v>
      </c>
      <c r="E48" s="66"/>
      <c r="F48" s="67">
        <f>F17/E17-1</f>
        <v>0.21690772610765485</v>
      </c>
      <c r="G48" s="67">
        <f>G17/F17-1</f>
        <v>0.32579832248843399</v>
      </c>
      <c r="H48" s="67">
        <f>H17/G17-1</f>
        <v>0.17115379159692723</v>
      </c>
    </row>
    <row r="49" spans="1:9" x14ac:dyDescent="0.25">
      <c r="B49" s="1"/>
      <c r="C49" s="64"/>
      <c r="D49" s="64"/>
      <c r="E49" s="66"/>
      <c r="F49" s="66"/>
      <c r="G49" s="66"/>
      <c r="H49" s="66"/>
    </row>
    <row r="50" spans="1:9" x14ac:dyDescent="0.25">
      <c r="B50" t="str">
        <f>B19</f>
        <v>Depreciation</v>
      </c>
      <c r="D50" s="61" t="s">
        <v>55</v>
      </c>
      <c r="E50" s="66"/>
      <c r="F50" s="66">
        <f>F19/E19-1</f>
        <v>0.17701691156085375</v>
      </c>
      <c r="G50" s="66">
        <f t="shared" ref="G50:H50" si="29">G19/F19-1</f>
        <v>9.7868331174184364E-2</v>
      </c>
      <c r="H50" s="66">
        <f t="shared" si="29"/>
        <v>0.23664449688907951</v>
      </c>
    </row>
    <row r="51" spans="1:9" x14ac:dyDescent="0.25">
      <c r="B51" t="str">
        <f>B23</f>
        <v>Interest expense</v>
      </c>
      <c r="D51" s="61" t="s">
        <v>55</v>
      </c>
      <c r="E51" s="66"/>
      <c r="F51" s="66">
        <f>F23/E23-1</f>
        <v>0.19082336930105948</v>
      </c>
      <c r="G51" s="66">
        <f t="shared" ref="G51:H51" si="30">G23/F23-1</f>
        <v>-7.6734693877550386E-3</v>
      </c>
      <c r="H51" s="66">
        <f t="shared" si="30"/>
        <v>-1.4807502467917066E-2</v>
      </c>
    </row>
    <row r="52" spans="1:9" x14ac:dyDescent="0.25">
      <c r="B52" s="1" t="str">
        <f>A27</f>
        <v>PAT</v>
      </c>
      <c r="C52" s="64"/>
      <c r="D52" s="64" t="s">
        <v>55</v>
      </c>
      <c r="E52" s="67"/>
      <c r="F52" s="67">
        <f>F27/E27-1</f>
        <v>8.7719298245620525E-2</v>
      </c>
      <c r="G52" s="67">
        <f t="shared" ref="G52:H52" si="31">G27/F27-1</f>
        <v>0.90475382003395488</v>
      </c>
      <c r="H52" s="67">
        <f t="shared" si="31"/>
        <v>0.33264996880293274</v>
      </c>
    </row>
    <row r="55" spans="1:9" x14ac:dyDescent="0.25">
      <c r="A55" s="165"/>
      <c r="B55" s="165"/>
      <c r="C55" s="166"/>
      <c r="D55" s="165"/>
      <c r="E55" s="165"/>
      <c r="F55" s="165"/>
      <c r="G55" s="165"/>
      <c r="H55" s="165"/>
      <c r="I55" s="165"/>
    </row>
    <row r="56" spans="1:9" x14ac:dyDescent="0.25">
      <c r="A56" s="160" t="s">
        <v>60</v>
      </c>
      <c r="B56" s="161"/>
      <c r="C56" s="162"/>
      <c r="D56" s="161"/>
      <c r="E56" s="161">
        <f>E2</f>
        <v>45016</v>
      </c>
      <c r="F56" s="163">
        <f>F2</f>
        <v>45382</v>
      </c>
      <c r="G56" s="163">
        <f>G2</f>
        <v>45747</v>
      </c>
      <c r="H56" s="164">
        <f>H2</f>
        <v>46112</v>
      </c>
      <c r="I56" s="161"/>
    </row>
    <row r="58" spans="1:9" x14ac:dyDescent="0.25">
      <c r="B58" t="s">
        <v>61</v>
      </c>
      <c r="E58" s="66">
        <f>(E11+E12)/E$8</f>
        <v>0.73637272502499385</v>
      </c>
      <c r="F58" s="66">
        <f>(F11+F12)/F$8</f>
        <v>0.72489100516344196</v>
      </c>
      <c r="G58" s="68">
        <f>(G11+G12)/G$8</f>
        <v>0.69795969985667317</v>
      </c>
      <c r="H58" s="68">
        <f>(H11+H12)/H$8</f>
        <v>0.68358115551131393</v>
      </c>
      <c r="I58" s="156" t="s">
        <v>64</v>
      </c>
    </row>
    <row r="59" spans="1:9" x14ac:dyDescent="0.25">
      <c r="B59" t="s">
        <v>5</v>
      </c>
      <c r="E59" s="66">
        <f t="shared" ref="E59:H60" si="32">E13/E$8</f>
        <v>9.5868763639100005E-2</v>
      </c>
      <c r="F59" s="66">
        <f t="shared" si="32"/>
        <v>0.1030659192735017</v>
      </c>
      <c r="G59" s="66">
        <f t="shared" si="32"/>
        <v>0.10687547424331845</v>
      </c>
      <c r="H59" s="66">
        <f t="shared" si="32"/>
        <v>0.10815489282590476</v>
      </c>
      <c r="I59" s="156" t="s">
        <v>63</v>
      </c>
    </row>
    <row r="60" spans="1:9" x14ac:dyDescent="0.25">
      <c r="B60" t="s">
        <v>6</v>
      </c>
      <c r="E60" s="66">
        <f t="shared" si="32"/>
        <v>0.12078518215925094</v>
      </c>
      <c r="F60" s="66">
        <f t="shared" si="32"/>
        <v>0.11862656460329898</v>
      </c>
      <c r="G60" s="66">
        <f t="shared" si="32"/>
        <v>0.1208688137593795</v>
      </c>
      <c r="H60" s="68">
        <f t="shared" si="32"/>
        <v>0.13272423850948042</v>
      </c>
      <c r="I60" s="156" t="s">
        <v>67</v>
      </c>
    </row>
    <row r="61" spans="1:9" x14ac:dyDescent="0.25">
      <c r="B61" s="1" t="s">
        <v>54</v>
      </c>
      <c r="E61" s="67">
        <f>E17/E8</f>
        <v>4.6973329176655143E-2</v>
      </c>
      <c r="F61" s="67">
        <f>F17/F8</f>
        <v>5.3416510959757274E-2</v>
      </c>
      <c r="G61" s="67">
        <f>G17/G8</f>
        <v>7.4296012140628906E-2</v>
      </c>
      <c r="H61" s="67">
        <f>H17/H8</f>
        <v>7.5539713153300964E-2</v>
      </c>
      <c r="I61" s="156" t="s">
        <v>64</v>
      </c>
    </row>
    <row r="62" spans="1:9" x14ac:dyDescent="0.25">
      <c r="E62" s="66"/>
      <c r="F62" s="66"/>
      <c r="G62" s="66"/>
      <c r="H62" s="66"/>
      <c r="I62" s="35"/>
    </row>
    <row r="63" spans="1:9" x14ac:dyDescent="0.25">
      <c r="B63" t="s">
        <v>13</v>
      </c>
      <c r="E63" s="66">
        <f>E19/E8</f>
        <v>1.5510142652892297E-2</v>
      </c>
      <c r="F63" s="66">
        <f>F19/F8</f>
        <v>1.7059449902557609E-2</v>
      </c>
      <c r="G63" s="68">
        <f>G19/G8</f>
        <v>1.9648427619930867E-2</v>
      </c>
      <c r="H63" s="68">
        <f>H19/H8</f>
        <v>2.1094467642828647E-2</v>
      </c>
      <c r="I63" s="156" t="s">
        <v>66</v>
      </c>
    </row>
    <row r="64" spans="1:9" x14ac:dyDescent="0.25">
      <c r="B64" t="s">
        <v>15</v>
      </c>
      <c r="E64" s="66">
        <f>E23/E8</f>
        <v>2.2117110822054763E-2</v>
      </c>
      <c r="F64" s="66">
        <f>F23/F8</f>
        <v>2.4611737287284271E-2</v>
      </c>
      <c r="G64" s="66">
        <f>G23/G8</f>
        <v>2.562178568417503E-2</v>
      </c>
      <c r="H64" s="68">
        <f>H23/H8</f>
        <v>2.1914238765658907E-2</v>
      </c>
      <c r="I64" s="156" t="s">
        <v>65</v>
      </c>
    </row>
    <row r="65" spans="2:9" x14ac:dyDescent="0.25">
      <c r="B65" s="1" t="s">
        <v>62</v>
      </c>
      <c r="E65" s="67">
        <f>E27/E8</f>
        <v>1.1642282016275455E-2</v>
      </c>
      <c r="F65" s="67">
        <f>F27/F8</f>
        <v>1.1833725112008496E-2</v>
      </c>
      <c r="G65" s="67">
        <f>G27/G8</f>
        <v>2.3646825731388533E-2</v>
      </c>
      <c r="H65" s="67">
        <f>H27/H8</f>
        <v>2.7358031378203723E-2</v>
      </c>
      <c r="I65" s="156" t="s">
        <v>64</v>
      </c>
    </row>
  </sheetData>
  <conditionalFormatting sqref="F44:H44 F48:H48 F52:H52">
    <cfRule type="cellIs" dxfId="3" priority="5" operator="lessThan">
      <formula>0</formula>
    </cfRule>
    <cfRule type="cellIs" dxfId="2" priority="6" operator="greaterThanOrEqual">
      <formula>0</formula>
    </cfRule>
  </conditionalFormatting>
  <conditionalFormatting sqref="F45:H47 F50:H51">
    <cfRule type="cellIs" dxfId="1" priority="3" operator="greaterThan">
      <formula>0</formula>
    </cfRule>
    <cfRule type="cellIs" dxfId="0" priority="4" operator="lessThanOrEqual">
      <formula>0</formula>
    </cfRule>
  </conditionalFormatting>
  <pageMargins left="0.7" right="0.7" top="0.75" bottom="0.75" header="0.3" footer="0.3"/>
  <ignoredErrors>
    <ignoredError sqref="H20 H25" formula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E0DD-87B3-4A67-A68D-6DD1CF63BE76}">
  <dimension ref="A1:T54"/>
  <sheetViews>
    <sheetView showGridLines="0" zoomScale="88" workbookViewId="0">
      <pane xSplit="3" ySplit="2" topLeftCell="E19" activePane="bottomRight" state="frozen"/>
      <selection pane="topRight" activeCell="D1" sqref="D1"/>
      <selection pane="bottomLeft" activeCell="A3" sqref="A3"/>
      <selection pane="bottomRight" activeCell="H37" sqref="H37"/>
    </sheetView>
  </sheetViews>
  <sheetFormatPr defaultRowHeight="13.2" x14ac:dyDescent="0.25"/>
  <cols>
    <col min="1" max="1" width="4.109375" customWidth="1"/>
    <col min="2" max="2" width="36.33203125" customWidth="1"/>
    <col min="4" max="4" width="4.109375" customWidth="1"/>
    <col min="5" max="13" width="14.109375" customWidth="1"/>
    <col min="14" max="14" width="2.44140625" customWidth="1"/>
    <col min="15" max="15" width="6.33203125" customWidth="1"/>
    <col min="17" max="20" width="10.77734375" customWidth="1"/>
  </cols>
  <sheetData>
    <row r="1" spans="1:20" ht="15.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O1" s="126"/>
      <c r="Q1" s="2"/>
      <c r="R1" s="2"/>
      <c r="S1" s="2"/>
      <c r="T1" s="2"/>
    </row>
    <row r="2" spans="1:20" ht="15.6" x14ac:dyDescent="0.3">
      <c r="A2" s="3" t="str">
        <f>IS!A2</f>
        <v>(Unless Otherwise specified, all financials are in ₹ Cr)</v>
      </c>
      <c r="B2" s="2"/>
      <c r="C2" s="2"/>
      <c r="D2" s="2"/>
      <c r="E2" s="5">
        <f>IS!E2</f>
        <v>45016</v>
      </c>
      <c r="F2" s="5">
        <f>IS!F2</f>
        <v>45382</v>
      </c>
      <c r="G2" s="5">
        <f>IS!G2</f>
        <v>45747</v>
      </c>
      <c r="H2" s="21">
        <f>IS!H2</f>
        <v>46112</v>
      </c>
      <c r="I2" s="6">
        <f>IS!I2</f>
        <v>46477</v>
      </c>
      <c r="J2" s="6">
        <f>IS!J2</f>
        <v>46843</v>
      </c>
      <c r="K2" s="6">
        <f>IS!K2</f>
        <v>47208</v>
      </c>
      <c r="L2" s="6">
        <f>IS!L2</f>
        <v>47573</v>
      </c>
      <c r="M2" s="6">
        <f>IS!M2</f>
        <v>47938</v>
      </c>
      <c r="N2" s="127"/>
      <c r="O2" s="126"/>
      <c r="Q2" s="152">
        <f>E2</f>
        <v>45016</v>
      </c>
      <c r="R2" s="152">
        <f t="shared" ref="R2:T2" si="0">F2</f>
        <v>45382</v>
      </c>
      <c r="S2" s="152">
        <f t="shared" si="0"/>
        <v>45747</v>
      </c>
      <c r="T2" s="152">
        <f t="shared" si="0"/>
        <v>46112</v>
      </c>
    </row>
    <row r="3" spans="1:20" ht="15.6" x14ac:dyDescent="0.3">
      <c r="A3" s="24" t="s">
        <v>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O3" s="126"/>
    </row>
    <row r="4" spans="1:20" ht="15.6" x14ac:dyDescent="0.3">
      <c r="B4" s="128"/>
      <c r="O4" s="126"/>
    </row>
    <row r="5" spans="1:20" ht="15.6" x14ac:dyDescent="0.3">
      <c r="A5" s="1" t="s">
        <v>26</v>
      </c>
      <c r="B5" s="129"/>
      <c r="O5" s="126"/>
    </row>
    <row r="6" spans="1:20" ht="15.6" x14ac:dyDescent="0.3">
      <c r="A6" s="1"/>
      <c r="B6" s="129"/>
      <c r="O6" s="126"/>
    </row>
    <row r="7" spans="1:20" ht="15.6" x14ac:dyDescent="0.3">
      <c r="A7" s="1" t="s">
        <v>27</v>
      </c>
      <c r="B7" s="129"/>
      <c r="O7" s="126"/>
    </row>
    <row r="8" spans="1:20" ht="15.6" x14ac:dyDescent="0.3">
      <c r="B8" s="130" t="s">
        <v>134</v>
      </c>
      <c r="E8" s="131">
        <v>4.04</v>
      </c>
      <c r="F8" s="131">
        <v>4.76</v>
      </c>
      <c r="G8" s="131">
        <v>4.2</v>
      </c>
      <c r="H8" s="131">
        <v>3.64</v>
      </c>
      <c r="I8" s="123">
        <f>CF!I43</f>
        <v>61.943190969245691</v>
      </c>
      <c r="J8" s="123">
        <f>CF!J43</f>
        <v>214.03320378235776</v>
      </c>
      <c r="K8" s="123">
        <f>CF!K43</f>
        <v>496.30356508244057</v>
      </c>
      <c r="L8" s="123">
        <f>CF!L43</f>
        <v>862.2192680233984</v>
      </c>
      <c r="M8" s="123">
        <f>CF!M43</f>
        <v>1325.2112873228459</v>
      </c>
      <c r="O8" s="126"/>
    </row>
    <row r="9" spans="1:20" ht="15.6" x14ac:dyDescent="0.3">
      <c r="B9" s="130" t="s">
        <v>135</v>
      </c>
      <c r="E9" s="131">
        <v>0.6</v>
      </c>
      <c r="F9" s="131">
        <v>0.54</v>
      </c>
      <c r="G9" s="131">
        <v>0.71</v>
      </c>
      <c r="H9" s="131">
        <v>0.52</v>
      </c>
      <c r="I9" s="123">
        <f>AVERAGE(E9:H9)</f>
        <v>0.59250000000000003</v>
      </c>
      <c r="J9" s="123">
        <f t="shared" ref="J9:M9" si="1">AVERAGE(F9:I9)</f>
        <v>0.59062499999999996</v>
      </c>
      <c r="K9" s="123">
        <f t="shared" si="1"/>
        <v>0.60328124999999999</v>
      </c>
      <c r="L9" s="123">
        <f t="shared" si="1"/>
        <v>0.57660156250000005</v>
      </c>
      <c r="M9" s="123">
        <f t="shared" si="1"/>
        <v>0.59075195312500006</v>
      </c>
      <c r="O9" s="126"/>
    </row>
    <row r="10" spans="1:20" ht="15.6" x14ac:dyDescent="0.3">
      <c r="B10" s="130" t="s">
        <v>136</v>
      </c>
      <c r="E10" s="131">
        <v>829.12</v>
      </c>
      <c r="F10" s="131">
        <v>726.34</v>
      </c>
      <c r="G10" s="131">
        <v>800.82</v>
      </c>
      <c r="H10" s="131">
        <v>817.69</v>
      </c>
      <c r="I10" s="123">
        <f>Assumptions!I46*Assumptions!I11/365</f>
        <v>966.93504147945237</v>
      </c>
      <c r="J10" s="123">
        <f>Assumptions!J46*Assumptions!J11/365</f>
        <v>1151.4403119034259</v>
      </c>
      <c r="K10" s="123">
        <f>Assumptions!K46*Assumptions!K11/365</f>
        <v>1258.655854088948</v>
      </c>
      <c r="L10" s="123">
        <f>Assumptions!L46*Assumptions!L11/365</f>
        <v>1513.3203923000169</v>
      </c>
      <c r="M10" s="123">
        <f>Assumptions!M46*Assumptions!M11/365</f>
        <v>1823.1528305130205</v>
      </c>
      <c r="O10" s="126"/>
    </row>
    <row r="11" spans="1:20" ht="15.6" x14ac:dyDescent="0.3">
      <c r="B11" s="130" t="s">
        <v>28</v>
      </c>
      <c r="E11" s="131">
        <v>844.27</v>
      </c>
      <c r="F11" s="131">
        <v>882.5</v>
      </c>
      <c r="G11" s="131">
        <v>769.03</v>
      </c>
      <c r="H11" s="131">
        <v>746.43</v>
      </c>
      <c r="I11" s="123">
        <f>Assumptions!I47*Assumptions!I44/365</f>
        <v>889.15321739320564</v>
      </c>
      <c r="J11" s="123">
        <f>Assumptions!J47*Assumptions!J44/365</f>
        <v>1017.7158033791154</v>
      </c>
      <c r="K11" s="123">
        <f>Assumptions!K47*Assumptions!K44/365</f>
        <v>1212.5237557268408</v>
      </c>
      <c r="L11" s="123">
        <f>Assumptions!L47*Assumptions!L44/365</f>
        <v>1328.1413334719509</v>
      </c>
      <c r="M11" s="123">
        <f>Assumptions!M47*Assumptions!M44/365</f>
        <v>1540.7096093854002</v>
      </c>
      <c r="O11" s="126"/>
    </row>
    <row r="12" spans="1:20" ht="15.6" x14ac:dyDescent="0.3">
      <c r="B12" s="130" t="s">
        <v>137</v>
      </c>
      <c r="E12" s="131">
        <v>157.39000000000001</v>
      </c>
      <c r="F12" s="131">
        <v>173.57000000000002</v>
      </c>
      <c r="G12" s="131">
        <v>171.34</v>
      </c>
      <c r="H12" s="131">
        <v>236</v>
      </c>
      <c r="I12" s="123">
        <f>Assumptions!I49*Assumptions!I11</f>
        <v>256.67730192000005</v>
      </c>
      <c r="J12" s="123">
        <f>Assumptions!J49*Assumptions!J11</f>
        <v>285.18709153750922</v>
      </c>
      <c r="K12" s="123">
        <f>Assumptions!K49*Assumptions!K11</f>
        <v>306.2729244949773</v>
      </c>
      <c r="L12" s="123">
        <f>Assumptions!L49*Assumptions!L11</f>
        <v>339.16961423917047</v>
      </c>
      <c r="M12" s="123">
        <f>Assumptions!M49*Assumptions!M11</f>
        <v>377.08877711110978</v>
      </c>
      <c r="O12" s="126"/>
    </row>
    <row r="13" spans="1:20" ht="15.6" x14ac:dyDescent="0.3">
      <c r="B13" s="124" t="s">
        <v>29</v>
      </c>
      <c r="C13" s="139"/>
      <c r="D13" s="139"/>
      <c r="E13" s="125">
        <f>SUM(E8:E12)</f>
        <v>1835.42</v>
      </c>
      <c r="F13" s="125">
        <f t="shared" ref="F13:M13" si="2">SUM(F8:F12)</f>
        <v>1787.7099999999998</v>
      </c>
      <c r="G13" s="125">
        <f t="shared" si="2"/>
        <v>1746.1</v>
      </c>
      <c r="H13" s="125">
        <f t="shared" si="2"/>
        <v>1804.28</v>
      </c>
      <c r="I13" s="125">
        <f t="shared" si="2"/>
        <v>2175.3012517619036</v>
      </c>
      <c r="J13" s="125">
        <f t="shared" si="2"/>
        <v>2668.9670356024085</v>
      </c>
      <c r="K13" s="125">
        <f t="shared" si="2"/>
        <v>3274.3593806432068</v>
      </c>
      <c r="L13" s="125">
        <f t="shared" si="2"/>
        <v>4043.4272095970368</v>
      </c>
      <c r="M13" s="125">
        <f t="shared" si="2"/>
        <v>5066.7532562855013</v>
      </c>
      <c r="O13" s="126"/>
    </row>
    <row r="14" spans="1:20" ht="15.6" x14ac:dyDescent="0.3">
      <c r="B14" s="132"/>
      <c r="C14" s="133"/>
      <c r="D14" s="133"/>
      <c r="E14" s="134"/>
      <c r="F14" s="134"/>
      <c r="G14" s="134"/>
      <c r="H14" s="134"/>
      <c r="I14" s="134"/>
      <c r="J14" s="134"/>
      <c r="K14" s="134"/>
      <c r="L14" s="134"/>
      <c r="M14" s="134"/>
      <c r="O14" s="126"/>
    </row>
    <row r="15" spans="1:20" ht="15.6" x14ac:dyDescent="0.3">
      <c r="A15" s="1" t="s">
        <v>30</v>
      </c>
      <c r="B15" s="132"/>
      <c r="C15" s="133"/>
      <c r="D15" s="133"/>
      <c r="E15" s="134"/>
      <c r="F15" s="134"/>
      <c r="G15" s="134"/>
      <c r="H15" s="134"/>
      <c r="I15" s="134"/>
      <c r="J15" s="134"/>
      <c r="K15" s="134"/>
      <c r="L15" s="134"/>
      <c r="M15" s="134"/>
      <c r="O15" s="126"/>
    </row>
    <row r="16" spans="1:20" ht="15.6" x14ac:dyDescent="0.3">
      <c r="B16" t="s">
        <v>138</v>
      </c>
      <c r="E16" s="135">
        <v>27.89</v>
      </c>
      <c r="F16" s="135">
        <v>32.07</v>
      </c>
      <c r="G16" s="135">
        <v>46.27</v>
      </c>
      <c r="H16" s="135">
        <v>78.34</v>
      </c>
      <c r="I16" s="123">
        <f>H16-CF!I25-CF!I27</f>
        <v>68.257500000000007</v>
      </c>
      <c r="J16" s="123">
        <f>I16-CF!J25-CF!J27</f>
        <v>58.654375000000016</v>
      </c>
      <c r="K16" s="123">
        <f>J16-CF!K25-CF!K27</f>
        <v>49.19296875000002</v>
      </c>
      <c r="L16" s="123">
        <f>K16-CF!L25-CF!L27</f>
        <v>39.583710937500015</v>
      </c>
      <c r="M16" s="123">
        <f>L16-CF!M25-CF!M27</f>
        <v>26.644638671875015</v>
      </c>
      <c r="O16" s="126"/>
    </row>
    <row r="17" spans="1:15" ht="15.6" x14ac:dyDescent="0.3">
      <c r="B17" t="s">
        <v>139</v>
      </c>
      <c r="E17" s="131">
        <v>1111.56</v>
      </c>
      <c r="F17" s="131">
        <v>1191.29</v>
      </c>
      <c r="G17" s="131">
        <v>1310.5300000000002</v>
      </c>
      <c r="H17" s="131">
        <v>1538.05</v>
      </c>
      <c r="I17" s="123">
        <f>H17-CF!I7-CF!I9-CF!I26-CF!I24</f>
        <v>1659.1411141809085</v>
      </c>
      <c r="J17" s="123">
        <f>I17-CF!J7-CF!J9-CF!J26-CF!J24</f>
        <v>1766.4916167462957</v>
      </c>
      <c r="K17" s="123">
        <f>J17-CF!K7-CF!K9-CF!K26-CF!K24</f>
        <v>1863.0394729043448</v>
      </c>
      <c r="L17" s="123">
        <f>K17-CF!L7-CF!L9-CF!L26-CF!L24</f>
        <v>1923.0500520620717</v>
      </c>
      <c r="M17" s="123">
        <f>L17-CF!M7-CF!M9-CF!M26-CF!M24</f>
        <v>1939.9569084506595</v>
      </c>
      <c r="O17" s="126"/>
    </row>
    <row r="18" spans="1:15" ht="15.6" x14ac:dyDescent="0.3">
      <c r="B18" t="s">
        <v>7</v>
      </c>
      <c r="E18" s="131">
        <v>0</v>
      </c>
      <c r="F18" s="131">
        <v>31.8</v>
      </c>
      <c r="G18" s="131">
        <v>31.8</v>
      </c>
      <c r="H18" s="131">
        <v>31.8</v>
      </c>
      <c r="I18" s="123">
        <f>H18</f>
        <v>31.8</v>
      </c>
      <c r="J18" s="123">
        <f t="shared" ref="J18:M18" si="3">I18</f>
        <v>31.8</v>
      </c>
      <c r="K18" s="123">
        <f t="shared" si="3"/>
        <v>31.8</v>
      </c>
      <c r="L18" s="123">
        <f t="shared" si="3"/>
        <v>31.8</v>
      </c>
      <c r="M18" s="123">
        <f t="shared" si="3"/>
        <v>31.8</v>
      </c>
      <c r="O18" s="126"/>
    </row>
    <row r="19" spans="1:15" ht="15.6" x14ac:dyDescent="0.3">
      <c r="B19" t="s">
        <v>8</v>
      </c>
      <c r="E19" s="131">
        <v>2.52</v>
      </c>
      <c r="F19" s="131">
        <v>3.81</v>
      </c>
      <c r="G19" s="131">
        <v>3.29</v>
      </c>
      <c r="H19" s="131">
        <v>4.9800000000000004</v>
      </c>
      <c r="I19" s="123">
        <f>H19</f>
        <v>4.9800000000000004</v>
      </c>
      <c r="J19" s="123">
        <f t="shared" ref="J19:M19" si="4">I19</f>
        <v>4.9800000000000004</v>
      </c>
      <c r="K19" s="123">
        <f t="shared" si="4"/>
        <v>4.9800000000000004</v>
      </c>
      <c r="L19" s="123">
        <f t="shared" si="4"/>
        <v>4.9800000000000004</v>
      </c>
      <c r="M19" s="123">
        <f t="shared" si="4"/>
        <v>4.9800000000000004</v>
      </c>
      <c r="O19" s="126"/>
    </row>
    <row r="20" spans="1:15" ht="15.6" x14ac:dyDescent="0.3">
      <c r="B20" s="130" t="s">
        <v>140</v>
      </c>
      <c r="E20" s="131">
        <v>0</v>
      </c>
      <c r="F20" s="131">
        <v>0</v>
      </c>
      <c r="G20" s="131">
        <v>0</v>
      </c>
      <c r="H20" s="131">
        <v>12.76</v>
      </c>
      <c r="I20" s="123">
        <f>H20-CF!I8</f>
        <v>12.76</v>
      </c>
      <c r="J20" s="123">
        <f>I20-CF!J8</f>
        <v>12.76</v>
      </c>
      <c r="K20" s="123">
        <f>J20-CF!K8</f>
        <v>12.76</v>
      </c>
      <c r="L20" s="123">
        <f>K20-CF!L8</f>
        <v>12.76</v>
      </c>
      <c r="M20" s="123">
        <f>L20-CF!M8</f>
        <v>12.76</v>
      </c>
      <c r="O20" s="126"/>
    </row>
    <row r="21" spans="1:15" ht="15.6" x14ac:dyDescent="0.3">
      <c r="B21" t="s">
        <v>141</v>
      </c>
      <c r="E21" s="131">
        <v>32.159999999999997</v>
      </c>
      <c r="F21" s="131">
        <v>57.46</v>
      </c>
      <c r="G21" s="131">
        <v>50.41</v>
      </c>
      <c r="H21" s="131">
        <v>56.72</v>
      </c>
      <c r="I21" s="123">
        <f>Assumptions!I58*Assumptions!I11</f>
        <v>57.752392932000006</v>
      </c>
      <c r="J21" s="123">
        <f>Assumptions!J58*Assumptions!J11</f>
        <v>67.544311153620598</v>
      </c>
      <c r="K21" s="123">
        <f>Assumptions!K58*Assumptions!K11</f>
        <v>76.568231123744326</v>
      </c>
      <c r="L21" s="123">
        <f>Assumptions!L58*Assumptions!L11</f>
        <v>87.215043661500971</v>
      </c>
      <c r="M21" s="123">
        <f>Assumptions!M58*Assumptions!M11</f>
        <v>99.817617470587862</v>
      </c>
      <c r="O21" s="126"/>
    </row>
    <row r="22" spans="1:15" ht="15.6" x14ac:dyDescent="0.3">
      <c r="B22" s="124" t="s">
        <v>167</v>
      </c>
      <c r="C22" s="139"/>
      <c r="D22" s="139"/>
      <c r="E22" s="125">
        <f>SUM(E16:E21)</f>
        <v>1174.1300000000001</v>
      </c>
      <c r="F22" s="125">
        <f t="shared" ref="F22:M22" si="5">SUM(F16:F21)</f>
        <v>1316.4299999999998</v>
      </c>
      <c r="G22" s="125">
        <f t="shared" si="5"/>
        <v>1442.3000000000002</v>
      </c>
      <c r="H22" s="125">
        <f t="shared" si="5"/>
        <v>1722.6499999999999</v>
      </c>
      <c r="I22" s="125">
        <f t="shared" si="5"/>
        <v>1834.6910071129084</v>
      </c>
      <c r="J22" s="125">
        <f t="shared" si="5"/>
        <v>1942.2303028999163</v>
      </c>
      <c r="K22" s="125">
        <f t="shared" si="5"/>
        <v>2038.3406727780891</v>
      </c>
      <c r="L22" s="125">
        <f t="shared" si="5"/>
        <v>2099.3888066610725</v>
      </c>
      <c r="M22" s="125">
        <f t="shared" si="5"/>
        <v>2115.9591645931223</v>
      </c>
      <c r="O22" s="126"/>
    </row>
    <row r="23" spans="1:15" ht="15.6" x14ac:dyDescent="0.3">
      <c r="E23" s="131"/>
      <c r="F23" s="131"/>
      <c r="G23" s="131"/>
      <c r="H23" s="131"/>
      <c r="I23" s="123"/>
      <c r="J23" s="123"/>
      <c r="K23" s="123"/>
      <c r="L23" s="123"/>
      <c r="M23" s="123"/>
      <c r="O23" s="126"/>
    </row>
    <row r="24" spans="1:15" ht="16.2" thickBot="1" x14ac:dyDescent="0.35">
      <c r="A24" s="18" t="s">
        <v>31</v>
      </c>
      <c r="B24" s="18"/>
      <c r="C24" s="19"/>
      <c r="D24" s="19"/>
      <c r="E24" s="32">
        <f>E13+E22</f>
        <v>3009.55</v>
      </c>
      <c r="F24" s="32">
        <f t="shared" ref="F24:M24" si="6">F13+F22</f>
        <v>3104.1399999999994</v>
      </c>
      <c r="G24" s="32">
        <f t="shared" si="6"/>
        <v>3188.4</v>
      </c>
      <c r="H24" s="32">
        <f t="shared" si="6"/>
        <v>3526.93</v>
      </c>
      <c r="I24" s="32">
        <f t="shared" si="6"/>
        <v>4009.9922588748123</v>
      </c>
      <c r="J24" s="32">
        <f t="shared" si="6"/>
        <v>4611.1973385023248</v>
      </c>
      <c r="K24" s="32">
        <f t="shared" si="6"/>
        <v>5312.7000534212957</v>
      </c>
      <c r="L24" s="32">
        <f t="shared" si="6"/>
        <v>6142.8160162581098</v>
      </c>
      <c r="M24" s="32">
        <f t="shared" si="6"/>
        <v>7182.7124208786236</v>
      </c>
      <c r="O24" s="126"/>
    </row>
    <row r="25" spans="1:15" ht="16.2" thickTop="1" x14ac:dyDescent="0.3">
      <c r="O25" s="126"/>
    </row>
    <row r="26" spans="1:15" ht="15.6" x14ac:dyDescent="0.3">
      <c r="A26" s="24" t="s">
        <v>21</v>
      </c>
      <c r="O26" s="126"/>
    </row>
    <row r="27" spans="1:15" ht="15.6" x14ac:dyDescent="0.3">
      <c r="O27" s="126"/>
    </row>
    <row r="28" spans="1:15" ht="15.6" x14ac:dyDescent="0.3">
      <c r="A28" s="1" t="s">
        <v>22</v>
      </c>
      <c r="O28" s="126"/>
    </row>
    <row r="29" spans="1:15" ht="15.6" x14ac:dyDescent="0.3">
      <c r="A29" s="2"/>
      <c r="O29" s="126"/>
    </row>
    <row r="30" spans="1:15" ht="15.6" x14ac:dyDescent="0.3">
      <c r="A30" s="1" t="s">
        <v>168</v>
      </c>
      <c r="O30" s="126"/>
    </row>
    <row r="31" spans="1:15" ht="15.6" x14ac:dyDescent="0.3">
      <c r="B31" t="s">
        <v>142</v>
      </c>
      <c r="E31" s="131">
        <v>571.07999999999993</v>
      </c>
      <c r="F31" s="131">
        <v>479.44</v>
      </c>
      <c r="G31" s="131">
        <v>428.90000000000003</v>
      </c>
      <c r="H31" s="131">
        <v>454.36</v>
      </c>
      <c r="I31" s="123">
        <f>H31+CF!I33</f>
        <v>444.3154645188518</v>
      </c>
      <c r="J31" s="123">
        <f>I31+CF!J33</f>
        <v>435.885057540182</v>
      </c>
      <c r="K31" s="123">
        <f>J31+CF!K33</f>
        <v>479.15231945376462</v>
      </c>
      <c r="L31" s="123">
        <f>K31+CF!L33</f>
        <v>519.31560528559316</v>
      </c>
      <c r="M31" s="123">
        <f>L31+CF!M33</f>
        <v>588.30139644128712</v>
      </c>
      <c r="O31" s="126"/>
    </row>
    <row r="32" spans="1:15" ht="15.6" x14ac:dyDescent="0.3">
      <c r="B32" s="130" t="s">
        <v>143</v>
      </c>
      <c r="E32" s="131">
        <v>1164.57</v>
      </c>
      <c r="F32" s="131">
        <v>1197.07</v>
      </c>
      <c r="G32" s="131">
        <v>1221.29</v>
      </c>
      <c r="H32" s="131">
        <v>1338.18</v>
      </c>
      <c r="I32" s="123">
        <f>Assumptions!I48*Assumptions!I44/365</f>
        <v>1568.1429470389264</v>
      </c>
      <c r="J32" s="123">
        <f>Assumptions!J48*Assumptions!J44/365</f>
        <v>1828.119128292115</v>
      </c>
      <c r="K32" s="123">
        <f>Assumptions!K48*Assumptions!K44/365</f>
        <v>2063.4176193947992</v>
      </c>
      <c r="L32" s="123">
        <f>Assumptions!L48*Assumptions!L44/365</f>
        <v>2342.3583517596226</v>
      </c>
      <c r="M32" s="123">
        <f>Assumptions!M48*Assumptions!M44/365</f>
        <v>2668.7291448282826</v>
      </c>
      <c r="O32" s="126"/>
    </row>
    <row r="33" spans="1:15" ht="15.6" x14ac:dyDescent="0.3">
      <c r="B33" s="130" t="s">
        <v>144</v>
      </c>
      <c r="E33" s="131">
        <v>229.19</v>
      </c>
      <c r="F33" s="131">
        <v>221.70999999999998</v>
      </c>
      <c r="G33" s="131">
        <v>229.81</v>
      </c>
      <c r="H33" s="131">
        <v>270.79000000000002</v>
      </c>
      <c r="I33" s="123">
        <f>Assumptions!I81*Assumptions!I11</f>
        <v>320.8466274000001</v>
      </c>
      <c r="J33" s="123">
        <f>Assumptions!J81*Assumptions!J11</f>
        <v>375.24617307567007</v>
      </c>
      <c r="K33" s="123">
        <f>Assumptions!K81*Assumptions!K11</f>
        <v>425.37906179857964</v>
      </c>
      <c r="L33" s="123">
        <f>Assumptions!L81*Assumptions!L11</f>
        <v>484.52802034167212</v>
      </c>
      <c r="M33" s="123">
        <f>Assumptions!M81*Assumptions!M11</f>
        <v>554.54231928104377</v>
      </c>
      <c r="O33" s="126"/>
    </row>
    <row r="34" spans="1:15" ht="15.6" x14ac:dyDescent="0.3">
      <c r="B34" s="9" t="s">
        <v>145</v>
      </c>
      <c r="C34" s="10"/>
      <c r="D34" s="10"/>
      <c r="E34" s="31">
        <f>SUM(E31:E33)</f>
        <v>1964.84</v>
      </c>
      <c r="F34" s="31">
        <f t="shared" ref="F34:M34" si="7">SUM(F31:F33)</f>
        <v>1898.22</v>
      </c>
      <c r="G34" s="31">
        <f t="shared" si="7"/>
        <v>1880</v>
      </c>
      <c r="H34" s="31">
        <f t="shared" si="7"/>
        <v>2063.33</v>
      </c>
      <c r="I34" s="31">
        <f t="shared" si="7"/>
        <v>2333.3050389577784</v>
      </c>
      <c r="J34" s="31">
        <f t="shared" si="7"/>
        <v>2639.250358907967</v>
      </c>
      <c r="K34" s="31">
        <f t="shared" si="7"/>
        <v>2967.9490006471433</v>
      </c>
      <c r="L34" s="31">
        <f t="shared" si="7"/>
        <v>3346.2019773868878</v>
      </c>
      <c r="M34" s="31">
        <f t="shared" si="7"/>
        <v>3811.5728605506138</v>
      </c>
      <c r="O34" s="126"/>
    </row>
    <row r="35" spans="1:15" ht="15.6" x14ac:dyDescent="0.3">
      <c r="B35" s="1"/>
      <c r="C35" s="2"/>
      <c r="D35" s="2"/>
      <c r="E35" s="50"/>
      <c r="F35" s="50"/>
      <c r="G35" s="50"/>
      <c r="H35" s="50"/>
      <c r="I35" s="50"/>
      <c r="J35" s="50"/>
      <c r="K35" s="50"/>
      <c r="L35" s="50"/>
      <c r="M35" s="50"/>
      <c r="O35" s="126"/>
    </row>
    <row r="36" spans="1:15" ht="15.6" x14ac:dyDescent="0.3">
      <c r="A36" s="1" t="s">
        <v>23</v>
      </c>
      <c r="B36" s="1"/>
      <c r="C36" s="2"/>
      <c r="D36" s="2"/>
      <c r="E36" s="50"/>
      <c r="F36" s="50"/>
      <c r="G36" s="50"/>
      <c r="H36" s="50"/>
      <c r="I36" s="50"/>
      <c r="J36" s="50"/>
      <c r="K36" s="50"/>
      <c r="L36" s="50"/>
      <c r="M36" s="50"/>
      <c r="O36" s="126"/>
    </row>
    <row r="37" spans="1:15" ht="15.6" x14ac:dyDescent="0.3">
      <c r="B37" t="s">
        <v>146</v>
      </c>
      <c r="E37" s="131">
        <v>11</v>
      </c>
      <c r="F37" s="131">
        <v>10.78</v>
      </c>
      <c r="G37" s="131">
        <v>4.88</v>
      </c>
      <c r="H37" s="131">
        <v>56.47</v>
      </c>
      <c r="I37" s="123">
        <f>H37+CF!I32</f>
        <v>37.47</v>
      </c>
      <c r="J37" s="123">
        <f>I37+CF!J32</f>
        <v>18.47</v>
      </c>
      <c r="K37" s="123">
        <f>J37+CF!K32</f>
        <v>-0.53000000000000114</v>
      </c>
      <c r="L37" s="123">
        <f>K37+CF!L32</f>
        <v>-9.1917336846999973</v>
      </c>
      <c r="M37" s="123">
        <f>L37+CF!M32</f>
        <v>-9.1917336846999973</v>
      </c>
      <c r="O37" s="126"/>
    </row>
    <row r="38" spans="1:15" ht="15.6" x14ac:dyDescent="0.3">
      <c r="B38" t="s">
        <v>147</v>
      </c>
      <c r="E38" s="131">
        <v>203.25</v>
      </c>
      <c r="F38" s="131">
        <v>287.55</v>
      </c>
      <c r="G38" s="131">
        <v>302.98</v>
      </c>
      <c r="H38" s="131">
        <v>257.29000000000002</v>
      </c>
      <c r="I38" s="123">
        <f>H38+CF!I34</f>
        <v>248.64500000000001</v>
      </c>
      <c r="J38" s="123">
        <f>I38+CF!J34</f>
        <v>241.82307499999999</v>
      </c>
      <c r="K38" s="123">
        <f>J38+CF!K34</f>
        <v>239.17487600000001</v>
      </c>
      <c r="L38" s="123">
        <f>K38+CF!L34</f>
        <v>225.84164677249998</v>
      </c>
      <c r="M38" s="123">
        <f>L38+CF!M34</f>
        <v>203.70772847895</v>
      </c>
      <c r="O38" s="126"/>
    </row>
    <row r="39" spans="1:15" ht="15.6" x14ac:dyDescent="0.3">
      <c r="B39" t="s">
        <v>148</v>
      </c>
      <c r="E39" s="131">
        <v>53.29</v>
      </c>
      <c r="F39" s="131">
        <v>58.680000000000007</v>
      </c>
      <c r="G39" s="131">
        <v>68.13</v>
      </c>
      <c r="H39" s="131">
        <v>94.910000000000011</v>
      </c>
      <c r="I39" s="123">
        <f>Assumptions!I82*Assumptions!I11</f>
        <v>115.50478586400001</v>
      </c>
      <c r="J39" s="123">
        <f>Assumptions!J82*Assumptions!J11</f>
        <v>150.09846923026802</v>
      </c>
      <c r="K39" s="123">
        <f>Assumptions!K82*Assumptions!K11</f>
        <v>187.16678719137502</v>
      </c>
      <c r="L39" s="123">
        <f>Assumptions!L82*Assumptions!L11</f>
        <v>232.57344976400259</v>
      </c>
      <c r="M39" s="123">
        <f>Assumptions!M82*Assumptions!M11</f>
        <v>288.36200602614275</v>
      </c>
      <c r="O39" s="126"/>
    </row>
    <row r="40" spans="1:15" ht="15.6" x14ac:dyDescent="0.3">
      <c r="B40" s="9" t="s">
        <v>24</v>
      </c>
      <c r="C40" s="10"/>
      <c r="D40" s="10"/>
      <c r="E40" s="31">
        <f>SUM(E37:E39)</f>
        <v>267.54000000000002</v>
      </c>
      <c r="F40" s="31">
        <f t="shared" ref="F40:M40" si="8">SUM(F37:F39)</f>
        <v>357.01</v>
      </c>
      <c r="G40" s="31">
        <f t="shared" si="8"/>
        <v>375.99</v>
      </c>
      <c r="H40" s="31">
        <f t="shared" si="8"/>
        <v>408.67</v>
      </c>
      <c r="I40" s="31">
        <f t="shared" si="8"/>
        <v>401.61978586400005</v>
      </c>
      <c r="J40" s="31">
        <f t="shared" si="8"/>
        <v>410.39154423026798</v>
      </c>
      <c r="K40" s="31">
        <f t="shared" si="8"/>
        <v>425.81166319137503</v>
      </c>
      <c r="L40" s="31">
        <f t="shared" si="8"/>
        <v>449.22336285180256</v>
      </c>
      <c r="M40" s="31">
        <f t="shared" si="8"/>
        <v>482.87800082039274</v>
      </c>
      <c r="O40" s="126"/>
    </row>
    <row r="41" spans="1:15" ht="15.6" x14ac:dyDescent="0.3">
      <c r="O41" s="126"/>
    </row>
    <row r="42" spans="1:15" ht="15.6" x14ac:dyDescent="0.3">
      <c r="A42" s="1" t="s">
        <v>169</v>
      </c>
      <c r="B42" s="129"/>
      <c r="O42" s="126"/>
    </row>
    <row r="43" spans="1:15" ht="15.6" x14ac:dyDescent="0.3">
      <c r="B43" t="s">
        <v>149</v>
      </c>
      <c r="E43" s="131">
        <v>24.06</v>
      </c>
      <c r="F43" s="131">
        <v>24.43</v>
      </c>
      <c r="G43" s="131">
        <v>24.43</v>
      </c>
      <c r="H43" s="131">
        <v>24.43</v>
      </c>
      <c r="I43" s="123">
        <f t="shared" ref="I43:M43" si="9">H43</f>
        <v>24.43</v>
      </c>
      <c r="J43" s="123">
        <f t="shared" si="9"/>
        <v>24.43</v>
      </c>
      <c r="K43" s="123">
        <f t="shared" si="9"/>
        <v>24.43</v>
      </c>
      <c r="L43" s="123">
        <f t="shared" si="9"/>
        <v>24.43</v>
      </c>
      <c r="M43" s="123">
        <f t="shared" si="9"/>
        <v>24.43</v>
      </c>
      <c r="O43" s="126"/>
    </row>
    <row r="44" spans="1:15" ht="15.6" x14ac:dyDescent="0.3">
      <c r="B44" t="s">
        <v>150</v>
      </c>
      <c r="E44" s="131">
        <v>753.11</v>
      </c>
      <c r="F44" s="131">
        <v>824.48</v>
      </c>
      <c r="G44" s="131">
        <v>907.98</v>
      </c>
      <c r="H44" s="131">
        <v>1030.5</v>
      </c>
      <c r="I44" s="123">
        <f>H44+IS!I27+CF!I31</f>
        <v>1250.564934053034</v>
      </c>
      <c r="J44" s="123">
        <f>I44+IS!J27+CF!J31</f>
        <v>1537.0548103640897</v>
      </c>
      <c r="K44" s="123">
        <f>J44+IS!K27+CF!K31</f>
        <v>1894.4261083327772</v>
      </c>
      <c r="L44" s="123">
        <f>K44+IS!L27+CF!L31</f>
        <v>2322.9040744569188</v>
      </c>
      <c r="M44" s="123">
        <f>L44+IS!M27+CF!M31</f>
        <v>2863.7608075544917</v>
      </c>
      <c r="O44" s="126"/>
    </row>
    <row r="45" spans="1:15" ht="15.6" x14ac:dyDescent="0.3">
      <c r="B45" s="9" t="s">
        <v>151</v>
      </c>
      <c r="C45" s="10"/>
      <c r="D45" s="10"/>
      <c r="E45" s="31">
        <f>SUM(E43:E44)</f>
        <v>777.17</v>
      </c>
      <c r="F45" s="31">
        <f t="shared" ref="F45:M45" si="10">SUM(F43:F44)</f>
        <v>848.91</v>
      </c>
      <c r="G45" s="31">
        <f t="shared" si="10"/>
        <v>932.41</v>
      </c>
      <c r="H45" s="31">
        <f t="shared" si="10"/>
        <v>1054.93</v>
      </c>
      <c r="I45" s="31">
        <f t="shared" si="10"/>
        <v>1274.9949340530341</v>
      </c>
      <c r="J45" s="31">
        <f t="shared" si="10"/>
        <v>1561.4848103640898</v>
      </c>
      <c r="K45" s="31">
        <f t="shared" si="10"/>
        <v>1918.8561083327772</v>
      </c>
      <c r="L45" s="31">
        <f t="shared" si="10"/>
        <v>2347.3340744569186</v>
      </c>
      <c r="M45" s="31">
        <f t="shared" si="10"/>
        <v>2888.1908075544916</v>
      </c>
      <c r="O45" s="126"/>
    </row>
    <row r="46" spans="1:15" ht="15.6" x14ac:dyDescent="0.3">
      <c r="B46" s="136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O46" s="126"/>
    </row>
    <row r="47" spans="1:15" ht="16.2" thickBot="1" x14ac:dyDescent="0.35">
      <c r="A47" s="18" t="s">
        <v>152</v>
      </c>
      <c r="B47" s="18"/>
      <c r="C47" s="19"/>
      <c r="D47" s="19"/>
      <c r="E47" s="32">
        <f>E34+E40+E45</f>
        <v>3009.55</v>
      </c>
      <c r="F47" s="32">
        <f t="shared" ref="F47:M47" si="11">F34+F40+F45</f>
        <v>3104.14</v>
      </c>
      <c r="G47" s="32">
        <f t="shared" si="11"/>
        <v>3188.3999999999996</v>
      </c>
      <c r="H47" s="32">
        <f t="shared" si="11"/>
        <v>3526.9300000000003</v>
      </c>
      <c r="I47" s="32">
        <f t="shared" si="11"/>
        <v>4009.919758874812</v>
      </c>
      <c r="J47" s="32">
        <f t="shared" si="11"/>
        <v>4611.1267135023245</v>
      </c>
      <c r="K47" s="32">
        <f t="shared" si="11"/>
        <v>5312.6167721712955</v>
      </c>
      <c r="L47" s="32">
        <f t="shared" si="11"/>
        <v>6142.7594146956089</v>
      </c>
      <c r="M47" s="32">
        <f t="shared" si="11"/>
        <v>7182.6416689254984</v>
      </c>
      <c r="O47" s="126"/>
    </row>
    <row r="48" spans="1:15" ht="16.2" thickTop="1" x14ac:dyDescent="0.3">
      <c r="B48" s="136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O48" s="126"/>
    </row>
    <row r="49" spans="2:15" ht="15.6" x14ac:dyDescent="0.3">
      <c r="B49" s="137" t="s">
        <v>32</v>
      </c>
      <c r="C49" s="133"/>
      <c r="D49" s="133"/>
      <c r="E49" s="23">
        <f t="shared" ref="E49:H49" si="12">(ROUND(E24,0)-ROUND(E47,0))</f>
        <v>0</v>
      </c>
      <c r="F49" s="23">
        <f t="shared" si="12"/>
        <v>0</v>
      </c>
      <c r="G49" s="23">
        <f t="shared" si="12"/>
        <v>0</v>
      </c>
      <c r="H49" s="23">
        <f t="shared" si="12"/>
        <v>0</v>
      </c>
      <c r="I49" s="23">
        <f>(ROUND(I24,0)-ROUND(I47,0))</f>
        <v>0</v>
      </c>
      <c r="J49" s="23">
        <f t="shared" ref="J49:M49" si="13">(ROUND(J24,0)-ROUND(J47,0))</f>
        <v>0</v>
      </c>
      <c r="K49" s="23">
        <f t="shared" si="13"/>
        <v>0</v>
      </c>
      <c r="L49" s="23">
        <f t="shared" si="13"/>
        <v>0</v>
      </c>
      <c r="M49" s="23">
        <f t="shared" si="13"/>
        <v>0</v>
      </c>
      <c r="O49" s="126"/>
    </row>
    <row r="50" spans="2:15" ht="15.6" x14ac:dyDescent="0.3">
      <c r="O50" s="126"/>
    </row>
    <row r="51" spans="2:15" x14ac:dyDescent="0.25">
      <c r="I51" s="138"/>
      <c r="J51" s="138"/>
      <c r="K51" s="138"/>
      <c r="L51" s="138"/>
      <c r="M51" s="138"/>
    </row>
    <row r="52" spans="2:15" x14ac:dyDescent="0.25">
      <c r="I52" s="49"/>
    </row>
    <row r="54" spans="2:15" x14ac:dyDescent="0.25">
      <c r="I54" s="49"/>
      <c r="J54" s="49"/>
      <c r="K54" s="49"/>
      <c r="L54" s="49"/>
      <c r="M54" s="49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4682-253D-4761-9F35-2830B1BE8548}">
  <dimension ref="A1:O50"/>
  <sheetViews>
    <sheetView showGridLines="0" zoomScale="92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K12" sqref="K12"/>
    </sheetView>
  </sheetViews>
  <sheetFormatPr defaultRowHeight="13.2" x14ac:dyDescent="0.25"/>
  <cols>
    <col min="1" max="1" width="4.109375" customWidth="1"/>
    <col min="2" max="2" width="39.44140625" customWidth="1"/>
    <col min="4" max="4" width="4.109375" customWidth="1"/>
    <col min="5" max="13" width="14.109375" customWidth="1"/>
    <col min="14" max="14" width="2.44140625" customWidth="1"/>
    <col min="15" max="15" width="6.33203125" customWidth="1"/>
  </cols>
  <sheetData>
    <row r="1" spans="1:15" x14ac:dyDescent="0.25">
      <c r="O1" s="144"/>
    </row>
    <row r="2" spans="1:15" x14ac:dyDescent="0.25">
      <c r="A2" s="3" t="str">
        <f>IS!A2</f>
        <v>(Unless Otherwise specified, all financials are in ₹ Cr)</v>
      </c>
      <c r="E2" s="5">
        <f>IS!E2</f>
        <v>45016</v>
      </c>
      <c r="F2" s="5">
        <f>IS!F2</f>
        <v>45382</v>
      </c>
      <c r="G2" s="5">
        <f>IS!G2</f>
        <v>45747</v>
      </c>
      <c r="H2" s="90">
        <f>IS!H2</f>
        <v>46112</v>
      </c>
      <c r="I2" s="6">
        <f>IS!I2</f>
        <v>46477</v>
      </c>
      <c r="J2" s="6">
        <f>IS!J2</f>
        <v>46843</v>
      </c>
      <c r="K2" s="6">
        <f>IS!K2</f>
        <v>47208</v>
      </c>
      <c r="L2" s="6">
        <f>IS!L2</f>
        <v>47573</v>
      </c>
      <c r="M2" s="6">
        <f>IS!M2</f>
        <v>47938</v>
      </c>
      <c r="N2" s="145"/>
      <c r="O2" s="144"/>
    </row>
    <row r="3" spans="1:15" x14ac:dyDescent="0.25">
      <c r="B3" s="146"/>
      <c r="H3" s="146"/>
      <c r="I3" s="146"/>
      <c r="J3" s="146"/>
      <c r="K3" s="146"/>
      <c r="L3" s="146"/>
      <c r="M3" s="146"/>
      <c r="O3" s="144"/>
    </row>
    <row r="4" spans="1:15" x14ac:dyDescent="0.25">
      <c r="A4" s="27" t="s">
        <v>38</v>
      </c>
      <c r="O4" s="144"/>
    </row>
    <row r="5" spans="1:15" x14ac:dyDescent="0.25">
      <c r="B5" s="24"/>
      <c r="O5" s="144"/>
    </row>
    <row r="6" spans="1:15" x14ac:dyDescent="0.25">
      <c r="B6" s="142" t="s">
        <v>18</v>
      </c>
      <c r="C6" s="1"/>
      <c r="D6" s="1"/>
      <c r="E6" s="135">
        <v>53.67</v>
      </c>
      <c r="F6" s="135">
        <v>61.16</v>
      </c>
      <c r="G6" s="135">
        <v>112.56</v>
      </c>
      <c r="H6" s="135">
        <v>152.63</v>
      </c>
      <c r="I6" s="143">
        <f>IS!I27</f>
        <v>268.37187079638284</v>
      </c>
      <c r="J6" s="143">
        <f>IS!J27</f>
        <v>345.16852567597061</v>
      </c>
      <c r="K6" s="143">
        <f>IS!K27</f>
        <v>425.44202139129482</v>
      </c>
      <c r="L6" s="143">
        <f>IS!L27</f>
        <v>516.23851340258034</v>
      </c>
      <c r="M6" s="143">
        <f>IS!M27</f>
        <v>636.30203893832163</v>
      </c>
      <c r="O6" s="144"/>
    </row>
    <row r="7" spans="1:15" x14ac:dyDescent="0.25">
      <c r="B7" s="20" t="s">
        <v>39</v>
      </c>
      <c r="E7" s="131">
        <v>72.14</v>
      </c>
      <c r="F7" s="131">
        <v>84.91</v>
      </c>
      <c r="G7" s="131">
        <v>93.22</v>
      </c>
      <c r="H7" s="131">
        <v>115.28</v>
      </c>
      <c r="I7" s="123">
        <f>IS!I19</f>
        <v>105.0256</v>
      </c>
      <c r="J7" s="123">
        <f>IS!J19</f>
        <v>116.83767499999999</v>
      </c>
      <c r="K7" s="123">
        <f>IS!K19</f>
        <v>128.7081455</v>
      </c>
      <c r="L7" s="123">
        <f>IS!L19</f>
        <v>139.6412562825</v>
      </c>
      <c r="M7" s="123">
        <f>IS!M19</f>
        <v>149.35234445729998</v>
      </c>
      <c r="O7" s="144"/>
    </row>
    <row r="8" spans="1:15" x14ac:dyDescent="0.25">
      <c r="B8" t="s">
        <v>170</v>
      </c>
      <c r="E8" s="131">
        <v>15.14</v>
      </c>
      <c r="F8" s="131">
        <v>16.68</v>
      </c>
      <c r="G8" s="131">
        <v>36.85</v>
      </c>
      <c r="H8" s="131">
        <v>49.28</v>
      </c>
      <c r="I8" s="123">
        <v>0</v>
      </c>
      <c r="J8" s="123">
        <v>0</v>
      </c>
      <c r="K8" s="123">
        <v>0</v>
      </c>
      <c r="L8" s="123">
        <v>0</v>
      </c>
      <c r="M8" s="123">
        <v>0</v>
      </c>
      <c r="O8" s="144"/>
    </row>
    <row r="9" spans="1:15" x14ac:dyDescent="0.25">
      <c r="B9" t="s">
        <v>166</v>
      </c>
      <c r="E9" s="131">
        <v>93.800000000000011</v>
      </c>
      <c r="F9" s="131">
        <v>140.42000000000002</v>
      </c>
      <c r="G9" s="131">
        <v>123.66</v>
      </c>
      <c r="H9" s="131">
        <v>144.89000000000001</v>
      </c>
      <c r="I9" s="123">
        <f>IS!I23</f>
        <v>72.520785819091628</v>
      </c>
      <c r="J9" s="123">
        <f>IS!J23</f>
        <v>69.810572434612908</v>
      </c>
      <c r="K9" s="123">
        <f>IS!K23</f>
        <v>69.92185459195089</v>
      </c>
      <c r="L9" s="123">
        <f>IS!L23</f>
        <v>72.008551309773111</v>
      </c>
      <c r="M9" s="123">
        <f>IS!M23</f>
        <v>75.038775008487264</v>
      </c>
      <c r="O9" s="144"/>
    </row>
    <row r="10" spans="1:15" x14ac:dyDescent="0.25">
      <c r="E10" s="131"/>
      <c r="F10" s="131"/>
      <c r="G10" s="131"/>
      <c r="H10" s="131"/>
      <c r="I10" s="123"/>
      <c r="J10" s="123"/>
      <c r="K10" s="123"/>
      <c r="L10" s="123"/>
      <c r="M10" s="123"/>
      <c r="O10" s="144"/>
    </row>
    <row r="11" spans="1:15" x14ac:dyDescent="0.25">
      <c r="B11" s="1" t="s">
        <v>40</v>
      </c>
      <c r="E11" s="131"/>
      <c r="F11" s="131"/>
      <c r="G11" s="131"/>
      <c r="H11" s="131"/>
      <c r="I11" s="123"/>
      <c r="J11" s="123"/>
      <c r="K11" s="123"/>
      <c r="L11" s="123"/>
      <c r="M11" s="123"/>
      <c r="O11" s="144"/>
    </row>
    <row r="12" spans="1:15" x14ac:dyDescent="0.25">
      <c r="B12" s="28" t="s">
        <v>49</v>
      </c>
      <c r="E12" s="131">
        <v>79.239999999999995</v>
      </c>
      <c r="F12" s="131">
        <v>21.06</v>
      </c>
      <c r="G12" s="131">
        <v>-59.53</v>
      </c>
      <c r="H12" s="131">
        <v>18.14</v>
      </c>
      <c r="I12" s="123">
        <f>BS!H10-BS!I10</f>
        <v>-149.24504147945231</v>
      </c>
      <c r="J12" s="123">
        <f>BS!I10-BS!J10</f>
        <v>-184.50527042397357</v>
      </c>
      <c r="K12" s="123">
        <f>BS!J10-BS!K10</f>
        <v>-107.21554218552205</v>
      </c>
      <c r="L12" s="123">
        <f>BS!K10-BS!L10</f>
        <v>-254.66453821106893</v>
      </c>
      <c r="M12" s="123">
        <f>BS!L10-BS!M10</f>
        <v>-309.83243821300357</v>
      </c>
      <c r="O12" s="144"/>
    </row>
    <row r="13" spans="1:15" x14ac:dyDescent="0.25">
      <c r="B13" s="28" t="s">
        <v>41</v>
      </c>
      <c r="E13" s="131">
        <v>-44.85</v>
      </c>
      <c r="F13" s="131">
        <v>-0.17</v>
      </c>
      <c r="G13" s="131">
        <v>110.5</v>
      </c>
      <c r="H13" s="131">
        <v>-5.07</v>
      </c>
      <c r="I13" s="123">
        <f>BS!H11-BS!I11</f>
        <v>-142.72321739320569</v>
      </c>
      <c r="J13" s="123">
        <f>BS!I11-BS!J11</f>
        <v>-128.56258598590978</v>
      </c>
      <c r="K13" s="123">
        <f>BS!J11-BS!K11</f>
        <v>-194.8079523477254</v>
      </c>
      <c r="L13" s="123">
        <f>BS!K11-BS!L11</f>
        <v>-115.61757774511011</v>
      </c>
      <c r="M13" s="123">
        <f>BS!L11-BS!M11</f>
        <v>-212.56827591344927</v>
      </c>
      <c r="O13" s="144"/>
    </row>
    <row r="14" spans="1:15" x14ac:dyDescent="0.25">
      <c r="B14" s="35" t="s">
        <v>171</v>
      </c>
      <c r="E14" s="131">
        <v>28.35</v>
      </c>
      <c r="F14" s="131">
        <v>3.42</v>
      </c>
      <c r="G14" s="131">
        <v>-18.5</v>
      </c>
      <c r="H14" s="131">
        <v>-37.08</v>
      </c>
      <c r="I14" s="123">
        <f>BS!H12-BS!I12</f>
        <v>-20.677301920000048</v>
      </c>
      <c r="J14" s="123">
        <f>BS!I12-BS!J12</f>
        <v>-28.509789617509171</v>
      </c>
      <c r="K14" s="123">
        <f>BS!J12-BS!K12</f>
        <v>-21.085832957468085</v>
      </c>
      <c r="L14" s="123">
        <f>BS!K12-BS!L12</f>
        <v>-32.896689744193168</v>
      </c>
      <c r="M14" s="123">
        <f>BS!L12-BS!M12</f>
        <v>-37.919162871939307</v>
      </c>
      <c r="O14" s="144"/>
    </row>
    <row r="15" spans="1:15" x14ac:dyDescent="0.25">
      <c r="B15" s="35" t="s">
        <v>172</v>
      </c>
      <c r="E15" s="131">
        <v>0</v>
      </c>
      <c r="F15" s="131">
        <v>0</v>
      </c>
      <c r="G15" s="131">
        <v>0</v>
      </c>
      <c r="H15" s="131">
        <v>0</v>
      </c>
      <c r="I15" s="123">
        <f>BS!H21-BS!I21</f>
        <v>-1.0323929320000076</v>
      </c>
      <c r="J15" s="123">
        <f>BS!I21-BS!J21</f>
        <v>-9.7919182216205911</v>
      </c>
      <c r="K15" s="123">
        <f>BS!J21-BS!K21</f>
        <v>-9.0239199701237283</v>
      </c>
      <c r="L15" s="123">
        <f>BS!K21-BS!L21</f>
        <v>-10.646812537756645</v>
      </c>
      <c r="M15" s="123">
        <f>BS!L21-BS!M21</f>
        <v>-12.602573809086891</v>
      </c>
      <c r="O15" s="144"/>
    </row>
    <row r="16" spans="1:15" x14ac:dyDescent="0.25">
      <c r="B16" s="28" t="s">
        <v>48</v>
      </c>
      <c r="E16" s="131">
        <v>67.3</v>
      </c>
      <c r="F16" s="131">
        <v>32.5</v>
      </c>
      <c r="G16" s="131">
        <v>8.4499999999999993</v>
      </c>
      <c r="H16" s="131">
        <v>73.34</v>
      </c>
      <c r="I16" s="123">
        <f>BS!I32-BS!H32</f>
        <v>229.96294703892636</v>
      </c>
      <c r="J16" s="123">
        <f>BS!J32-BS!I32</f>
        <v>259.97618125318854</v>
      </c>
      <c r="K16" s="123">
        <f>BS!K32-BS!J32</f>
        <v>235.29849110268424</v>
      </c>
      <c r="L16" s="123">
        <f>BS!L32-BS!K32</f>
        <v>278.94073236482336</v>
      </c>
      <c r="M16" s="123">
        <f>BS!M32-BS!L32</f>
        <v>326.37079306866008</v>
      </c>
      <c r="O16" s="144"/>
    </row>
    <row r="17" spans="1:15" x14ac:dyDescent="0.25">
      <c r="B17" s="35" t="s">
        <v>173</v>
      </c>
      <c r="E17" s="131">
        <v>7.8600000000000012</v>
      </c>
      <c r="F17" s="131">
        <v>-30.64</v>
      </c>
      <c r="G17" s="131">
        <v>-6.74</v>
      </c>
      <c r="H17" s="131">
        <v>-34.049999999999997</v>
      </c>
      <c r="I17" s="123">
        <f>BS!I33+BS!I39-BS!H33-BS!H39</f>
        <v>70.651413264000112</v>
      </c>
      <c r="J17" s="123">
        <f>BS!J33+BS!J39-BS!I33-BS!I39</f>
        <v>88.993229041938008</v>
      </c>
      <c r="K17" s="123">
        <f>BS!K33+BS!K39-BS!J33-BS!J39</f>
        <v>87.201206684016626</v>
      </c>
      <c r="L17" s="123">
        <f>BS!L33+BS!L39-BS!K33-BS!K39</f>
        <v>104.55562111572004</v>
      </c>
      <c r="M17" s="123">
        <f>BS!M33+BS!M39-BS!L33-BS!L39</f>
        <v>125.80285520151187</v>
      </c>
      <c r="O17" s="144"/>
    </row>
    <row r="18" spans="1:15" x14ac:dyDescent="0.25">
      <c r="B18" s="36" t="s">
        <v>40</v>
      </c>
      <c r="C18" s="34"/>
      <c r="D18" s="34"/>
      <c r="E18" s="37">
        <f>SUM(E12:E17)</f>
        <v>137.9</v>
      </c>
      <c r="F18" s="37">
        <f t="shared" ref="F18:M18" si="0">SUM(F12:F17)</f>
        <v>26.169999999999995</v>
      </c>
      <c r="G18" s="37">
        <f t="shared" si="0"/>
        <v>34.18</v>
      </c>
      <c r="H18" s="37">
        <f t="shared" si="0"/>
        <v>15.280000000000008</v>
      </c>
      <c r="I18" s="37">
        <f t="shared" si="0"/>
        <v>-13.063593421731568</v>
      </c>
      <c r="J18" s="37">
        <f t="shared" si="0"/>
        <v>-2.400153953886587</v>
      </c>
      <c r="K18" s="37">
        <f t="shared" si="0"/>
        <v>-9.6335496741383793</v>
      </c>
      <c r="L18" s="37">
        <f t="shared" si="0"/>
        <v>-30.329264757585463</v>
      </c>
      <c r="M18" s="37">
        <f t="shared" si="0"/>
        <v>-120.74880253730703</v>
      </c>
      <c r="O18" s="144"/>
    </row>
    <row r="19" spans="1:15" x14ac:dyDescent="0.25">
      <c r="B19" s="35"/>
      <c r="E19" s="131"/>
      <c r="F19" s="131"/>
      <c r="G19" s="131"/>
      <c r="H19" s="131"/>
      <c r="I19" s="123"/>
      <c r="J19" s="123"/>
      <c r="K19" s="123"/>
      <c r="L19" s="123"/>
      <c r="M19" s="123"/>
      <c r="O19" s="144"/>
    </row>
    <row r="20" spans="1:15" x14ac:dyDescent="0.25">
      <c r="B20" s="149" t="s">
        <v>153</v>
      </c>
      <c r="C20" s="27"/>
      <c r="D20" s="27"/>
      <c r="E20" s="150">
        <f t="shared" ref="E20:M20" si="1">SUM(E6:E9,E12:E17)</f>
        <v>372.65000000000003</v>
      </c>
      <c r="F20" s="150">
        <f t="shared" si="1"/>
        <v>329.34000000000003</v>
      </c>
      <c r="G20" s="150">
        <f t="shared" si="1"/>
        <v>400.46999999999997</v>
      </c>
      <c r="H20" s="150">
        <f t="shared" si="1"/>
        <v>477.35999999999996</v>
      </c>
      <c r="I20" s="150">
        <f t="shared" si="1"/>
        <v>432.85466319374285</v>
      </c>
      <c r="J20" s="150">
        <f t="shared" si="1"/>
        <v>529.41661915669692</v>
      </c>
      <c r="K20" s="150">
        <f t="shared" si="1"/>
        <v>614.43847180910734</v>
      </c>
      <c r="L20" s="150">
        <f t="shared" si="1"/>
        <v>697.5590562372679</v>
      </c>
      <c r="M20" s="150">
        <f t="shared" si="1"/>
        <v>739.94435586680174</v>
      </c>
      <c r="O20" s="144"/>
    </row>
    <row r="21" spans="1:15" x14ac:dyDescent="0.25">
      <c r="J21" s="123"/>
      <c r="K21" s="123"/>
      <c r="L21" s="123"/>
      <c r="O21" s="144"/>
    </row>
    <row r="22" spans="1:15" x14ac:dyDescent="0.25">
      <c r="A22" s="27" t="s">
        <v>42</v>
      </c>
      <c r="B22" s="147"/>
      <c r="E22" s="123"/>
      <c r="F22" s="123"/>
      <c r="G22" s="123"/>
      <c r="H22" s="123"/>
      <c r="O22" s="144"/>
    </row>
    <row r="23" spans="1:15" x14ac:dyDescent="0.25">
      <c r="B23" t="s">
        <v>154</v>
      </c>
      <c r="E23" s="131">
        <v>0</v>
      </c>
      <c r="F23" s="131">
        <v>0</v>
      </c>
      <c r="G23" s="131">
        <v>0</v>
      </c>
      <c r="H23" s="131">
        <v>0</v>
      </c>
      <c r="I23" s="123"/>
      <c r="J23" s="123"/>
      <c r="K23" s="123"/>
      <c r="L23" s="123"/>
      <c r="M23" s="123"/>
      <c r="O23" s="144"/>
    </row>
    <row r="24" spans="1:15" x14ac:dyDescent="0.25">
      <c r="B24" t="s">
        <v>155</v>
      </c>
      <c r="E24" s="131">
        <v>1.6</v>
      </c>
      <c r="F24" s="131">
        <v>0.18</v>
      </c>
      <c r="G24" s="131">
        <v>1.25</v>
      </c>
      <c r="H24" s="131">
        <v>2.42</v>
      </c>
      <c r="I24" s="123">
        <f>'Asset Schedule'!I6</f>
        <v>1.3625</v>
      </c>
      <c r="J24" s="123">
        <f>'Asset Schedule'!J6</f>
        <v>1.3031249999999999</v>
      </c>
      <c r="K24" s="123">
        <f>'Asset Schedule'!K6</f>
        <v>1.5839062499999998</v>
      </c>
      <c r="L24" s="123">
        <f>'Asset Schedule'!L6</f>
        <v>1.6673828124999999</v>
      </c>
      <c r="M24" s="123">
        <f>'Asset Schedule'!M6</f>
        <v>1.4792285156249998</v>
      </c>
      <c r="O24" s="144"/>
    </row>
    <row r="25" spans="1:15" x14ac:dyDescent="0.25">
      <c r="B25" t="s">
        <v>156</v>
      </c>
      <c r="E25" s="131">
        <v>0</v>
      </c>
      <c r="F25" s="131">
        <v>-3.83</v>
      </c>
      <c r="G25" s="131">
        <v>-11.13</v>
      </c>
      <c r="H25" s="131">
        <v>-24.71</v>
      </c>
      <c r="I25" s="140">
        <f>AVERAGE(E25:H25)</f>
        <v>-9.9175000000000004</v>
      </c>
      <c r="J25" s="140">
        <f t="shared" ref="J25:M25" si="2">AVERAGE(F25:I25)</f>
        <v>-12.396875000000001</v>
      </c>
      <c r="K25" s="140">
        <f t="shared" si="2"/>
        <v>-14.538593750000002</v>
      </c>
      <c r="L25" s="140">
        <f t="shared" si="2"/>
        <v>-15.390742187500001</v>
      </c>
      <c r="M25" s="140">
        <f t="shared" si="2"/>
        <v>-13.060927734375001</v>
      </c>
      <c r="O25" s="144"/>
    </row>
    <row r="26" spans="1:15" x14ac:dyDescent="0.25">
      <c r="B26" t="s">
        <v>157</v>
      </c>
      <c r="E26" s="131">
        <v>-151.27000000000001</v>
      </c>
      <c r="F26" s="131">
        <v>-150.28</v>
      </c>
      <c r="G26" s="131">
        <v>-209.26</v>
      </c>
      <c r="H26" s="131">
        <v>-276.77999999999997</v>
      </c>
      <c r="I26" s="123">
        <f>-'Asset Schedule'!I9</f>
        <v>-300</v>
      </c>
      <c r="J26" s="123">
        <f>-'Asset Schedule'!J9</f>
        <v>-295.301875</v>
      </c>
      <c r="K26" s="123">
        <f>-'Asset Schedule'!K9</f>
        <v>-296.76176250000003</v>
      </c>
      <c r="L26" s="123">
        <f>-'Asset Schedule'!L9</f>
        <v>-273.32776956250001</v>
      </c>
      <c r="M26" s="123">
        <f>-'Asset Schedule'!M9</f>
        <v>-242.77720437000002</v>
      </c>
      <c r="O26" s="144"/>
    </row>
    <row r="27" spans="1:15" x14ac:dyDescent="0.25">
      <c r="B27" t="s">
        <v>158</v>
      </c>
      <c r="E27" s="131">
        <v>2.0999999999999996</v>
      </c>
      <c r="F27" s="131">
        <v>4.2</v>
      </c>
      <c r="G27" s="131">
        <v>5.91</v>
      </c>
      <c r="H27" s="131">
        <v>7.37</v>
      </c>
      <c r="I27" s="123">
        <f>IS!I24</f>
        <v>20</v>
      </c>
      <c r="J27" s="123">
        <f>IS!J24</f>
        <v>22</v>
      </c>
      <c r="K27" s="123">
        <f>IS!K24</f>
        <v>24</v>
      </c>
      <c r="L27" s="123">
        <f>IS!L24</f>
        <v>25</v>
      </c>
      <c r="M27" s="123">
        <f>IS!M24</f>
        <v>26</v>
      </c>
      <c r="O27" s="144"/>
    </row>
    <row r="28" spans="1:15" x14ac:dyDescent="0.25">
      <c r="B28" s="34" t="s">
        <v>42</v>
      </c>
      <c r="C28" s="34"/>
      <c r="D28" s="34"/>
      <c r="E28" s="37">
        <f t="shared" ref="E28:M28" si="3">SUM(E23:E27)</f>
        <v>-147.57000000000002</v>
      </c>
      <c r="F28" s="37">
        <f t="shared" si="3"/>
        <v>-149.73000000000002</v>
      </c>
      <c r="G28" s="37">
        <f t="shared" si="3"/>
        <v>-213.23</v>
      </c>
      <c r="H28" s="37">
        <f t="shared" si="3"/>
        <v>-291.7</v>
      </c>
      <c r="I28" s="37">
        <f t="shared" si="3"/>
        <v>-288.55500000000001</v>
      </c>
      <c r="J28" s="37">
        <f t="shared" si="3"/>
        <v>-284.395625</v>
      </c>
      <c r="K28" s="37">
        <f t="shared" si="3"/>
        <v>-285.71645000000001</v>
      </c>
      <c r="L28" s="37">
        <f t="shared" si="3"/>
        <v>-262.05112893750004</v>
      </c>
      <c r="M28" s="37">
        <f t="shared" si="3"/>
        <v>-228.35890358875002</v>
      </c>
      <c r="O28" s="144"/>
    </row>
    <row r="29" spans="1:15" x14ac:dyDescent="0.25">
      <c r="O29" s="144"/>
    </row>
    <row r="30" spans="1:15" x14ac:dyDescent="0.25">
      <c r="A30" s="27" t="s">
        <v>43</v>
      </c>
      <c r="B30" s="24"/>
      <c r="O30" s="144"/>
    </row>
    <row r="31" spans="1:15" x14ac:dyDescent="0.25">
      <c r="B31" t="s">
        <v>164</v>
      </c>
      <c r="E31" s="131">
        <v>-27.14</v>
      </c>
      <c r="F31" s="131">
        <v>-9.59</v>
      </c>
      <c r="G31" s="131">
        <v>-28.95</v>
      </c>
      <c r="H31" s="131">
        <v>-30.06</v>
      </c>
      <c r="I31" s="123">
        <f>-IS!I27*Assumptions!I83</f>
        <v>-48.306936743348906</v>
      </c>
      <c r="J31" s="123">
        <f>-IS!J27*Assumptions!J83</f>
        <v>-58.67864936491501</v>
      </c>
      <c r="K31" s="123">
        <f>-IS!K27*Assumptions!K83</f>
        <v>-68.070723422607173</v>
      </c>
      <c r="L31" s="123">
        <f>-IS!L27*Assumptions!L83</f>
        <v>-87.760547278438665</v>
      </c>
      <c r="M31" s="123">
        <f>-IS!M27*Assumptions!M83</f>
        <v>-95.445305840748247</v>
      </c>
      <c r="O31" s="144"/>
    </row>
    <row r="32" spans="1:15" x14ac:dyDescent="0.25">
      <c r="B32" s="141" t="s">
        <v>37</v>
      </c>
      <c r="E32" s="131">
        <v>-9.09</v>
      </c>
      <c r="F32" s="131">
        <v>-10.19</v>
      </c>
      <c r="G32" s="131">
        <v>-10.97</v>
      </c>
      <c r="H32" s="131">
        <v>-18.73</v>
      </c>
      <c r="I32" s="123">
        <f>-Assumptions!I77</f>
        <v>-19</v>
      </c>
      <c r="J32" s="123">
        <f>-Assumptions!J77</f>
        <v>-19</v>
      </c>
      <c r="K32" s="123">
        <f>-Assumptions!K77</f>
        <v>-19</v>
      </c>
      <c r="L32" s="123">
        <f>-Assumptions!L77</f>
        <v>-8.6617336846999962</v>
      </c>
      <c r="M32" s="123">
        <f>-Assumptions!M77</f>
        <v>0</v>
      </c>
      <c r="O32" s="144"/>
    </row>
    <row r="33" spans="1:15" x14ac:dyDescent="0.25">
      <c r="B33" t="s">
        <v>36</v>
      </c>
      <c r="E33" s="131">
        <v>-25.11</v>
      </c>
      <c r="F33" s="131">
        <v>11.53</v>
      </c>
      <c r="G33" s="131">
        <v>-115.73</v>
      </c>
      <c r="H33" s="131">
        <v>19.059999999999999</v>
      </c>
      <c r="I33" s="123">
        <f>Assumptions!I67</f>
        <v>-10.044535481148239</v>
      </c>
      <c r="J33" s="123">
        <f>Assumptions!J67</f>
        <v>-8.4304069786698204</v>
      </c>
      <c r="K33" s="123">
        <f>Assumptions!K67</f>
        <v>43.267261913582637</v>
      </c>
      <c r="L33" s="123">
        <f>Assumptions!L67</f>
        <v>40.163285831828588</v>
      </c>
      <c r="M33" s="123">
        <f>Assumptions!M67</f>
        <v>68.98579115569396</v>
      </c>
      <c r="O33" s="144"/>
    </row>
    <row r="34" spans="1:15" x14ac:dyDescent="0.25">
      <c r="B34" t="s">
        <v>165</v>
      </c>
      <c r="E34" s="131">
        <v>-45.649999999999991</v>
      </c>
      <c r="F34" s="131">
        <v>-17.480000000000004</v>
      </c>
      <c r="G34" s="131">
        <v>81.360000000000014</v>
      </c>
      <c r="H34" s="131">
        <v>-26.949999999999989</v>
      </c>
      <c r="I34" s="123">
        <f>Assumptions!I68+Assumptions!I73</f>
        <v>-8.6450000000000102</v>
      </c>
      <c r="J34" s="123">
        <f>Assumptions!J68+Assumptions!J73</f>
        <v>-6.8219250000000216</v>
      </c>
      <c r="K34" s="123">
        <f>Assumptions!K68+Assumptions!K73</f>
        <v>-2.6481989999999769</v>
      </c>
      <c r="L34" s="123">
        <f>Assumptions!L68+Assumptions!L73</f>
        <v>-13.333229227500027</v>
      </c>
      <c r="M34" s="123">
        <f>Assumptions!M68+Assumptions!M73</f>
        <v>-22.133918293549982</v>
      </c>
      <c r="O34" s="144"/>
    </row>
    <row r="35" spans="1:15" x14ac:dyDescent="0.25">
      <c r="B35" t="s">
        <v>119</v>
      </c>
      <c r="E35" s="131">
        <v>-103.78</v>
      </c>
      <c r="F35" s="131">
        <v>-120.3</v>
      </c>
      <c r="G35" s="131">
        <v>-113.24</v>
      </c>
      <c r="H35" s="131">
        <v>-118.08</v>
      </c>
      <c r="I35" s="123">
        <f>-IS!I23</f>
        <v>-72.520785819091628</v>
      </c>
      <c r="J35" s="123">
        <f>-IS!J23</f>
        <v>-69.810572434612908</v>
      </c>
      <c r="K35" s="123">
        <f>-IS!K23</f>
        <v>-69.92185459195089</v>
      </c>
      <c r="L35" s="123">
        <f>-IS!L23</f>
        <v>-72.008551309773111</v>
      </c>
      <c r="M35" s="123">
        <f>-IS!M23</f>
        <v>-75.038775008487264</v>
      </c>
      <c r="O35" s="144"/>
    </row>
    <row r="36" spans="1:15" x14ac:dyDescent="0.25">
      <c r="B36" s="34" t="s">
        <v>43</v>
      </c>
      <c r="C36" s="22"/>
      <c r="D36" s="22"/>
      <c r="E36" s="151">
        <f>SUM(E31:E35)</f>
        <v>-210.76999999999998</v>
      </c>
      <c r="F36" s="151">
        <f>SUM(F31:F35)</f>
        <v>-146.03</v>
      </c>
      <c r="G36" s="151">
        <f>SUM(G31:G35)</f>
        <v>-187.52999999999997</v>
      </c>
      <c r="H36" s="151">
        <f>SUM(H31:H35)</f>
        <v>-174.76</v>
      </c>
      <c r="I36" s="151">
        <f>SUM(I31:I34)</f>
        <v>-85.996472224497154</v>
      </c>
      <c r="J36" s="151">
        <f>SUM(J31:J34)</f>
        <v>-92.930981343584847</v>
      </c>
      <c r="K36" s="151">
        <f>SUM(K31:K34)</f>
        <v>-46.451660509024514</v>
      </c>
      <c r="L36" s="151">
        <f>SUM(L31:L34)</f>
        <v>-69.5922243588101</v>
      </c>
      <c r="M36" s="151">
        <f>SUM(M31:M34)</f>
        <v>-48.59343297860427</v>
      </c>
      <c r="O36" s="144"/>
    </row>
    <row r="37" spans="1:15" x14ac:dyDescent="0.25">
      <c r="O37" s="144"/>
    </row>
    <row r="38" spans="1:15" x14ac:dyDescent="0.25">
      <c r="B38" s="29" t="s">
        <v>44</v>
      </c>
      <c r="C38" s="29"/>
      <c r="D38" s="29"/>
      <c r="E38" s="30">
        <f>E20+E28+E36</f>
        <v>14.310000000000031</v>
      </c>
      <c r="F38" s="30">
        <f t="shared" ref="F38:M38" si="4">F20+F28+F36</f>
        <v>33.580000000000013</v>
      </c>
      <c r="G38" s="30">
        <f t="shared" si="4"/>
        <v>-0.28999999999999204</v>
      </c>
      <c r="H38" s="30">
        <f t="shared" si="4"/>
        <v>10.899999999999977</v>
      </c>
      <c r="I38" s="30">
        <f t="shared" si="4"/>
        <v>58.303190969245691</v>
      </c>
      <c r="J38" s="30">
        <f t="shared" si="4"/>
        <v>152.09001281311208</v>
      </c>
      <c r="K38" s="30">
        <f t="shared" si="4"/>
        <v>282.27036130008281</v>
      </c>
      <c r="L38" s="30">
        <f t="shared" si="4"/>
        <v>365.91570294095777</v>
      </c>
      <c r="M38" s="30">
        <f t="shared" si="4"/>
        <v>462.99201929944746</v>
      </c>
      <c r="O38" s="144"/>
    </row>
    <row r="39" spans="1:15" x14ac:dyDescent="0.25">
      <c r="O39" s="144"/>
    </row>
    <row r="40" spans="1:15" x14ac:dyDescent="0.25">
      <c r="A40" s="27" t="s">
        <v>45</v>
      </c>
      <c r="O40" s="144"/>
    </row>
    <row r="41" spans="1:15" x14ac:dyDescent="0.25">
      <c r="B41" t="s">
        <v>159</v>
      </c>
      <c r="H41" s="148"/>
      <c r="I41" s="123">
        <f t="shared" ref="I41:M41" si="5">H43</f>
        <v>3.64</v>
      </c>
      <c r="J41" s="123">
        <f t="shared" si="5"/>
        <v>61.943190969245691</v>
      </c>
      <c r="K41" s="123">
        <f t="shared" si="5"/>
        <v>214.03320378235776</v>
      </c>
      <c r="L41" s="123">
        <f t="shared" si="5"/>
        <v>496.30356508244057</v>
      </c>
      <c r="M41" s="123">
        <f t="shared" si="5"/>
        <v>862.2192680233984</v>
      </c>
      <c r="O41" s="144"/>
    </row>
    <row r="42" spans="1:15" x14ac:dyDescent="0.25">
      <c r="B42" t="s">
        <v>160</v>
      </c>
      <c r="H42" s="123"/>
      <c r="I42" s="123">
        <f>I38</f>
        <v>58.303190969245691</v>
      </c>
      <c r="J42" s="123">
        <f t="shared" ref="J42:M42" si="6">J38</f>
        <v>152.09001281311208</v>
      </c>
      <c r="K42" s="123">
        <f t="shared" si="6"/>
        <v>282.27036130008281</v>
      </c>
      <c r="L42" s="123">
        <f t="shared" si="6"/>
        <v>365.91570294095777</v>
      </c>
      <c r="M42" s="123">
        <f t="shared" si="6"/>
        <v>462.99201929944746</v>
      </c>
      <c r="O42" s="144"/>
    </row>
    <row r="43" spans="1:15" x14ac:dyDescent="0.25">
      <c r="B43" s="25" t="s">
        <v>161</v>
      </c>
      <c r="C43" s="25"/>
      <c r="D43" s="25"/>
      <c r="E43" s="25"/>
      <c r="F43" s="25"/>
      <c r="G43" s="25"/>
      <c r="H43" s="151">
        <f>BS!H8</f>
        <v>3.64</v>
      </c>
      <c r="I43" s="151">
        <f>SUM(I41:I42)</f>
        <v>61.943190969245691</v>
      </c>
      <c r="J43" s="151">
        <f t="shared" ref="J43:M43" si="7">SUM(J41:J42)</f>
        <v>214.03320378235776</v>
      </c>
      <c r="K43" s="151">
        <f t="shared" si="7"/>
        <v>496.30356508244057</v>
      </c>
      <c r="L43" s="151">
        <f t="shared" si="7"/>
        <v>862.2192680233984</v>
      </c>
      <c r="M43" s="151">
        <f t="shared" si="7"/>
        <v>1325.2112873228459</v>
      </c>
      <c r="N43" s="1"/>
      <c r="O43" s="144"/>
    </row>
    <row r="44" spans="1:15" x14ac:dyDescent="0.25">
      <c r="B44" s="1"/>
      <c r="C44" s="1"/>
      <c r="D44" s="1"/>
      <c r="E44" s="1"/>
      <c r="F44" s="1"/>
      <c r="G44" s="1"/>
      <c r="H44" s="143"/>
      <c r="I44" s="143"/>
      <c r="J44" s="143"/>
      <c r="K44" s="143"/>
      <c r="L44" s="143"/>
      <c r="M44" s="143"/>
      <c r="N44" s="1"/>
      <c r="O44" s="144"/>
    </row>
    <row r="45" spans="1:15" x14ac:dyDescent="0.25">
      <c r="B45" s="1" t="s">
        <v>162</v>
      </c>
      <c r="C45" s="1"/>
      <c r="D45" s="1"/>
      <c r="E45" s="1"/>
      <c r="F45" s="1"/>
      <c r="G45" s="1"/>
      <c r="H45" s="143"/>
      <c r="I45" s="143"/>
      <c r="J45" s="143"/>
      <c r="K45" s="143"/>
      <c r="L45" s="143"/>
      <c r="M45" s="143"/>
      <c r="N45" s="1"/>
      <c r="O45" s="144"/>
    </row>
    <row r="46" spans="1:15" x14ac:dyDescent="0.25">
      <c r="B46" t="s">
        <v>163</v>
      </c>
      <c r="C46" s="1"/>
      <c r="D46" s="1"/>
      <c r="E46" s="1"/>
      <c r="F46" s="1"/>
      <c r="G46" s="1"/>
      <c r="H46" s="143">
        <f t="shared" ref="H46:M46" si="8">SUM(H20,H28,H31:H31)</f>
        <v>155.59999999999997</v>
      </c>
      <c r="I46" s="143">
        <f t="shared" si="8"/>
        <v>95.992726450393945</v>
      </c>
      <c r="J46" s="143">
        <f t="shared" si="8"/>
        <v>186.34234479178193</v>
      </c>
      <c r="K46" s="143">
        <f t="shared" si="8"/>
        <v>260.65129838650017</v>
      </c>
      <c r="L46" s="143">
        <f t="shared" si="8"/>
        <v>347.74738002132921</v>
      </c>
      <c r="M46" s="143">
        <f t="shared" si="8"/>
        <v>416.14014643730349</v>
      </c>
      <c r="N46" s="1"/>
      <c r="O46" s="144"/>
    </row>
    <row r="47" spans="1:15" x14ac:dyDescent="0.25">
      <c r="O47" s="144"/>
    </row>
    <row r="50" spans="10:10" x14ac:dyDescent="0.25">
      <c r="J50" s="123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0CF7-72B3-4069-86B5-FCA1D2E28A17}">
  <dimension ref="A2:N90"/>
  <sheetViews>
    <sheetView showGridLines="0" zoomScale="97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F80" sqref="F80:K85"/>
    </sheetView>
  </sheetViews>
  <sheetFormatPr defaultRowHeight="13.2" x14ac:dyDescent="0.25"/>
  <cols>
    <col min="1" max="1" width="4.109375" customWidth="1"/>
    <col min="2" max="2" width="35.44140625" customWidth="1"/>
    <col min="3" max="3" width="5.77734375" customWidth="1"/>
    <col min="4" max="4" width="12.109375" customWidth="1"/>
    <col min="5" max="13" width="14.109375" customWidth="1"/>
  </cols>
  <sheetData>
    <row r="2" spans="1:13" s="182" customFormat="1" x14ac:dyDescent="0.25">
      <c r="A2" s="181" t="str">
        <f>IS!A2</f>
        <v>(Unless Otherwise specified, all financials are in ₹ Cr)</v>
      </c>
      <c r="E2" s="183">
        <f>IS!E2</f>
        <v>45016</v>
      </c>
      <c r="F2" s="183">
        <f>IS!F2</f>
        <v>45382</v>
      </c>
      <c r="G2" s="183">
        <f>IS!G2</f>
        <v>45747</v>
      </c>
      <c r="H2" s="184">
        <f>IS!H2</f>
        <v>46112</v>
      </c>
      <c r="I2" s="267">
        <f>IS!I2</f>
        <v>46477</v>
      </c>
      <c r="J2" s="267">
        <f>IS!J2</f>
        <v>46843</v>
      </c>
      <c r="K2" s="267">
        <f>IS!K2</f>
        <v>47208</v>
      </c>
      <c r="L2" s="267">
        <f>IS!L2</f>
        <v>47573</v>
      </c>
      <c r="M2" s="267">
        <f>IS!M2</f>
        <v>47938</v>
      </c>
    </row>
    <row r="3" spans="1:13" x14ac:dyDescent="0.25">
      <c r="B3" s="146"/>
      <c r="H3" s="146"/>
      <c r="I3" s="146"/>
      <c r="J3" s="146"/>
      <c r="K3" s="146"/>
      <c r="L3" s="146"/>
      <c r="M3" s="146"/>
    </row>
    <row r="4" spans="1:13" s="180" customFormat="1" x14ac:dyDescent="0.25">
      <c r="A4" s="179" t="s">
        <v>243</v>
      </c>
    </row>
    <row r="6" spans="1:13" x14ac:dyDescent="0.25">
      <c r="B6" t="s">
        <v>14</v>
      </c>
      <c r="E6" s="123"/>
      <c r="F6" s="123"/>
      <c r="G6" s="123"/>
      <c r="H6" s="123"/>
      <c r="I6" s="123">
        <f>IS!I20</f>
        <v>411.16286893600039</v>
      </c>
      <c r="J6" s="123">
        <f>IS!J20</f>
        <v>509.08081922864017</v>
      </c>
      <c r="K6" s="123">
        <f>IS!K20</f>
        <v>614.4665845014722</v>
      </c>
      <c r="L6" s="123">
        <f>IS!L20</f>
        <v>736.89030114617606</v>
      </c>
      <c r="M6" s="123">
        <f>IS!M20</f>
        <v>899.3689085623048</v>
      </c>
    </row>
    <row r="7" spans="1:13" x14ac:dyDescent="0.25">
      <c r="B7" t="s">
        <v>244</v>
      </c>
      <c r="D7" s="185">
        <f>Assumptions!I37</f>
        <v>0.25169999999999998</v>
      </c>
      <c r="E7" s="123"/>
      <c r="F7" s="123"/>
      <c r="G7" s="123"/>
      <c r="H7" s="123"/>
      <c r="I7" s="123"/>
      <c r="J7" s="123"/>
      <c r="K7" s="123"/>
      <c r="L7" s="123"/>
      <c r="M7" s="123"/>
    </row>
    <row r="8" spans="1:13" x14ac:dyDescent="0.25">
      <c r="B8" t="s">
        <v>245</v>
      </c>
      <c r="E8" s="123"/>
      <c r="F8" s="123"/>
      <c r="G8" s="123"/>
      <c r="H8" s="123"/>
      <c r="I8" s="123">
        <f>I6*(1-$D$7)</f>
        <v>307.67317482480905</v>
      </c>
      <c r="J8" s="123">
        <f t="shared" ref="J8:M8" si="0">J6*(1-$D$7)</f>
        <v>380.94517702879142</v>
      </c>
      <c r="K8" s="123">
        <f t="shared" si="0"/>
        <v>459.80534518245162</v>
      </c>
      <c r="L8" s="123">
        <f t="shared" si="0"/>
        <v>551.4150123476835</v>
      </c>
      <c r="M8" s="123">
        <f t="shared" si="0"/>
        <v>672.9977542771727</v>
      </c>
    </row>
    <row r="9" spans="1:13" x14ac:dyDescent="0.25">
      <c r="B9" t="s">
        <v>39</v>
      </c>
      <c r="E9" s="123"/>
      <c r="F9" s="123"/>
      <c r="G9" s="123"/>
      <c r="H9" s="123"/>
      <c r="I9" s="123">
        <f>IS!I19</f>
        <v>105.0256</v>
      </c>
      <c r="J9" s="123">
        <f>IS!J19</f>
        <v>116.83767499999999</v>
      </c>
      <c r="K9" s="123">
        <f>IS!K19</f>
        <v>128.7081455</v>
      </c>
      <c r="L9" s="123">
        <f>IS!L19</f>
        <v>139.6412562825</v>
      </c>
      <c r="M9" s="123">
        <f>IS!M19</f>
        <v>149.35234445729998</v>
      </c>
    </row>
    <row r="10" spans="1:13" x14ac:dyDescent="0.25">
      <c r="B10" t="s">
        <v>246</v>
      </c>
      <c r="E10" s="123"/>
      <c r="F10" s="123"/>
      <c r="G10" s="123"/>
      <c r="H10" s="123"/>
      <c r="I10" s="123">
        <f>CF!I18</f>
        <v>-13.063593421731568</v>
      </c>
      <c r="J10" s="123">
        <f>CF!J18</f>
        <v>-2.400153953886587</v>
      </c>
      <c r="K10" s="123">
        <f>CF!K18</f>
        <v>-9.6335496741383793</v>
      </c>
      <c r="L10" s="123">
        <f>CF!L18</f>
        <v>-30.329264757585463</v>
      </c>
      <c r="M10" s="123">
        <f>CF!M18</f>
        <v>-120.74880253730703</v>
      </c>
    </row>
    <row r="11" spans="1:13" x14ac:dyDescent="0.25">
      <c r="B11" t="s">
        <v>247</v>
      </c>
      <c r="E11" s="123"/>
      <c r="F11" s="123"/>
      <c r="G11" s="123"/>
      <c r="H11" s="123"/>
      <c r="I11" s="123">
        <f>CF!I26</f>
        <v>-300</v>
      </c>
      <c r="J11" s="123">
        <f>CF!J26</f>
        <v>-295.301875</v>
      </c>
      <c r="K11" s="123">
        <f>CF!K26</f>
        <v>-296.76176250000003</v>
      </c>
      <c r="L11" s="123">
        <f>CF!L26</f>
        <v>-273.32776956250001</v>
      </c>
      <c r="M11" s="123">
        <f>CF!M26</f>
        <v>-242.77720437000002</v>
      </c>
    </row>
    <row r="12" spans="1:13" x14ac:dyDescent="0.25">
      <c r="A12" s="91"/>
      <c r="B12" s="186" t="s">
        <v>248</v>
      </c>
      <c r="C12" s="186"/>
      <c r="D12" s="25"/>
      <c r="E12" s="25"/>
      <c r="F12" s="25"/>
      <c r="G12" s="25"/>
      <c r="H12" s="25"/>
      <c r="I12" s="151">
        <f>SUM(I8:I11)</f>
        <v>99.635181403077468</v>
      </c>
      <c r="J12" s="151">
        <f t="shared" ref="J12:M12" si="1">SUM(J8:J11)</f>
        <v>200.08082307490486</v>
      </c>
      <c r="K12" s="151">
        <f t="shared" si="1"/>
        <v>282.11817850831324</v>
      </c>
      <c r="L12" s="151">
        <f t="shared" si="1"/>
        <v>387.39923431009805</v>
      </c>
      <c r="M12" s="151">
        <f t="shared" si="1"/>
        <v>458.8240918271656</v>
      </c>
    </row>
    <row r="14" spans="1:13" x14ac:dyDescent="0.25">
      <c r="B14" s="1" t="s">
        <v>256</v>
      </c>
      <c r="D14" s="265">
        <f>Assumptions!D97</f>
        <v>0.14134764584832915</v>
      </c>
    </row>
    <row r="16" spans="1:13" x14ac:dyDescent="0.25">
      <c r="B16" t="s">
        <v>255</v>
      </c>
      <c r="D16" s="185">
        <f>Assumptions!D95</f>
        <v>0.05</v>
      </c>
    </row>
    <row r="18" spans="2:14" x14ac:dyDescent="0.25">
      <c r="B18" s="1" t="s">
        <v>284</v>
      </c>
      <c r="M18" s="266">
        <f>M12*(1+D16)/(D14-D16)</f>
        <v>5273.9760498965934</v>
      </c>
    </row>
    <row r="20" spans="2:14" x14ac:dyDescent="0.25">
      <c r="B20" t="s">
        <v>285</v>
      </c>
      <c r="I20" s="83">
        <v>1</v>
      </c>
      <c r="J20" s="83">
        <v>2</v>
      </c>
      <c r="K20" s="83">
        <v>3</v>
      </c>
      <c r="L20" s="83">
        <v>4</v>
      </c>
      <c r="M20" s="83">
        <v>5</v>
      </c>
    </row>
    <row r="21" spans="2:14" x14ac:dyDescent="0.25">
      <c r="B21" t="s">
        <v>286</v>
      </c>
      <c r="I21" s="268">
        <f>1/(1+$D$14)^I20</f>
        <v>0.87615723713762106</v>
      </c>
      <c r="J21" s="268">
        <f t="shared" ref="J21:M21" si="2">1/(1+$D$14)^J20</f>
        <v>0.76765150418862949</v>
      </c>
      <c r="K21" s="268">
        <f t="shared" si="2"/>
        <v>0.67258342099444857</v>
      </c>
      <c r="L21" s="268">
        <f t="shared" si="2"/>
        <v>0.58928883188306547</v>
      </c>
      <c r="M21" s="268">
        <f t="shared" si="2"/>
        <v>0.51630967481872259</v>
      </c>
    </row>
    <row r="23" spans="2:14" x14ac:dyDescent="0.25">
      <c r="B23" s="27" t="s">
        <v>287</v>
      </c>
      <c r="C23" s="27"/>
      <c r="D23" s="27"/>
      <c r="E23" s="27"/>
      <c r="F23" s="27"/>
      <c r="G23" s="27"/>
      <c r="H23" s="27"/>
      <c r="I23" s="143">
        <f>I12*I21</f>
        <v>87.296085259826043</v>
      </c>
      <c r="J23" s="143">
        <f t="shared" ref="J23:M23" si="3">J12*J21</f>
        <v>153.59234479274977</v>
      </c>
      <c r="K23" s="143">
        <f t="shared" si="3"/>
        <v>189.74800962584382</v>
      </c>
      <c r="L23" s="143">
        <f t="shared" si="3"/>
        <v>228.29004225899166</v>
      </c>
      <c r="M23" s="143">
        <f t="shared" si="3"/>
        <v>236.89531765027959</v>
      </c>
      <c r="N23" s="84"/>
    </row>
    <row r="24" spans="2:14" x14ac:dyDescent="0.25">
      <c r="B24" s="27" t="s">
        <v>288</v>
      </c>
      <c r="C24" s="27"/>
      <c r="D24" s="27"/>
      <c r="E24" s="27"/>
      <c r="F24" s="27"/>
      <c r="G24" s="27"/>
      <c r="H24" s="27"/>
      <c r="I24" s="143"/>
      <c r="J24" s="143"/>
      <c r="K24" s="143"/>
      <c r="L24" s="143"/>
      <c r="M24" s="143">
        <f>M18*M21</f>
        <v>2723.0048593238412</v>
      </c>
      <c r="N24" s="84"/>
    </row>
    <row r="26" spans="2:14" x14ac:dyDescent="0.25">
      <c r="B26" s="27" t="s">
        <v>289</v>
      </c>
      <c r="H26" s="270">
        <f>SUM(I23:M23,M24)</f>
        <v>3618.8266589115319</v>
      </c>
    </row>
    <row r="27" spans="2:14" x14ac:dyDescent="0.25">
      <c r="B27" s="20" t="s">
        <v>290</v>
      </c>
      <c r="H27" s="83">
        <f>-Assumptions!D85</f>
        <v>-711.65000000000009</v>
      </c>
    </row>
    <row r="28" spans="2:14" x14ac:dyDescent="0.25">
      <c r="B28" t="s">
        <v>299</v>
      </c>
      <c r="H28" s="83">
        <f>-BS!H37</f>
        <v>-56.47</v>
      </c>
    </row>
    <row r="29" spans="2:14" x14ac:dyDescent="0.25">
      <c r="B29" s="20" t="s">
        <v>291</v>
      </c>
      <c r="H29" s="83">
        <f>BS!H8</f>
        <v>3.64</v>
      </c>
    </row>
    <row r="30" spans="2:14" x14ac:dyDescent="0.25">
      <c r="B30" s="20" t="s">
        <v>292</v>
      </c>
      <c r="H30" s="7">
        <v>0</v>
      </c>
    </row>
    <row r="31" spans="2:14" x14ac:dyDescent="0.25">
      <c r="B31" s="269" t="s">
        <v>298</v>
      </c>
      <c r="H31" s="271">
        <f>BS!H16</f>
        <v>78.34</v>
      </c>
    </row>
    <row r="32" spans="2:14" x14ac:dyDescent="0.25">
      <c r="B32" s="27" t="s">
        <v>293</v>
      </c>
      <c r="H32" s="274">
        <f>SUM(H26:H31)</f>
        <v>2932.686658911532</v>
      </c>
    </row>
    <row r="33" spans="2:13" x14ac:dyDescent="0.25">
      <c r="B33" s="20" t="s">
        <v>294</v>
      </c>
      <c r="E33" s="173">
        <v>24433012</v>
      </c>
    </row>
    <row r="34" spans="2:13" x14ac:dyDescent="0.25">
      <c r="B34" s="27" t="s">
        <v>295</v>
      </c>
      <c r="D34" s="272">
        <f>H32*10^7/E33</f>
        <v>1200.2968192834892</v>
      </c>
    </row>
    <row r="36" spans="2:13" s="88" customFormat="1" x14ac:dyDescent="0.25"/>
    <row r="38" spans="2:13" x14ac:dyDescent="0.25">
      <c r="B38" s="24" t="s">
        <v>314</v>
      </c>
    </row>
    <row r="39" spans="2:13" x14ac:dyDescent="0.25">
      <c r="D39" s="154"/>
    </row>
    <row r="40" spans="2:13" x14ac:dyDescent="0.25">
      <c r="B40" s="1" t="s">
        <v>317</v>
      </c>
      <c r="D40" s="153"/>
    </row>
    <row r="41" spans="2:13" x14ac:dyDescent="0.25">
      <c r="B41" t="s">
        <v>276</v>
      </c>
      <c r="D41" s="73">
        <v>9.57</v>
      </c>
    </row>
    <row r="42" spans="2:13" x14ac:dyDescent="0.25">
      <c r="B42" t="s">
        <v>318</v>
      </c>
      <c r="D42" s="73">
        <v>7.43</v>
      </c>
      <c r="E42" t="s">
        <v>329</v>
      </c>
    </row>
    <row r="43" spans="2:13" x14ac:dyDescent="0.25">
      <c r="B43" s="25" t="s">
        <v>319</v>
      </c>
      <c r="C43" s="22"/>
      <c r="D43" s="22">
        <f>AVERAGE(D41:D42)</f>
        <v>8.5</v>
      </c>
    </row>
    <row r="45" spans="2:13" x14ac:dyDescent="0.25">
      <c r="B45" s="316" t="s">
        <v>316</v>
      </c>
      <c r="C45" s="317"/>
      <c r="D45" s="317"/>
      <c r="E45" s="317"/>
      <c r="F45" s="317"/>
      <c r="G45" s="317"/>
      <c r="H45" s="317"/>
      <c r="I45" s="317"/>
      <c r="J45" s="317"/>
      <c r="K45" s="317"/>
      <c r="L45" s="317"/>
      <c r="M45" s="318">
        <f>D43*IS!M17*M21</f>
        <v>4602.4518975373012</v>
      </c>
    </row>
    <row r="47" spans="2:13" x14ac:dyDescent="0.25">
      <c r="B47" s="27" t="s">
        <v>289</v>
      </c>
      <c r="H47" s="270">
        <f>SUM(I23:M23,M45)</f>
        <v>5498.2736971249924</v>
      </c>
    </row>
    <row r="48" spans="2:13" x14ac:dyDescent="0.25">
      <c r="B48" s="20" t="s">
        <v>290</v>
      </c>
      <c r="H48" s="83">
        <f>H27</f>
        <v>-711.65000000000009</v>
      </c>
    </row>
    <row r="49" spans="2:8" x14ac:dyDescent="0.25">
      <c r="B49" t="s">
        <v>299</v>
      </c>
      <c r="H49" s="83">
        <f>H28</f>
        <v>-56.47</v>
      </c>
    </row>
    <row r="50" spans="2:8" x14ac:dyDescent="0.25">
      <c r="B50" s="20" t="s">
        <v>291</v>
      </c>
      <c r="H50" s="83">
        <f>H29</f>
        <v>3.64</v>
      </c>
    </row>
    <row r="51" spans="2:8" x14ac:dyDescent="0.25">
      <c r="B51" s="20" t="s">
        <v>292</v>
      </c>
      <c r="H51" s="7">
        <f>H30</f>
        <v>0</v>
      </c>
    </row>
    <row r="52" spans="2:8" x14ac:dyDescent="0.25">
      <c r="B52" s="269" t="s">
        <v>298</v>
      </c>
      <c r="H52" s="271">
        <f>H31</f>
        <v>78.34</v>
      </c>
    </row>
    <row r="53" spans="2:8" x14ac:dyDescent="0.25">
      <c r="B53" s="27" t="s">
        <v>293</v>
      </c>
      <c r="H53" s="274">
        <f>SUM(H47:H52)</f>
        <v>4812.133697124993</v>
      </c>
    </row>
    <row r="54" spans="2:8" x14ac:dyDescent="0.25">
      <c r="B54" s="20" t="s">
        <v>294</v>
      </c>
      <c r="E54" s="173">
        <v>24433012</v>
      </c>
    </row>
    <row r="55" spans="2:8" x14ac:dyDescent="0.25">
      <c r="B55" s="27" t="s">
        <v>295</v>
      </c>
      <c r="D55" s="272">
        <f>H53*10^7/E54</f>
        <v>1969.5212760199165</v>
      </c>
    </row>
    <row r="57" spans="2:8" s="88" customFormat="1" x14ac:dyDescent="0.25"/>
    <row r="59" spans="2:8" x14ac:dyDescent="0.25">
      <c r="B59" s="1" t="s">
        <v>321</v>
      </c>
    </row>
    <row r="60" spans="2:8" x14ac:dyDescent="0.25">
      <c r="B60" s="1"/>
    </row>
    <row r="61" spans="2:8" x14ac:dyDescent="0.25">
      <c r="B61" s="321" t="s">
        <v>322</v>
      </c>
      <c r="C61" s="321"/>
      <c r="D61" s="322" t="s">
        <v>324</v>
      </c>
      <c r="E61" s="322" t="s">
        <v>323</v>
      </c>
      <c r="F61" s="322" t="s">
        <v>325</v>
      </c>
    </row>
    <row r="62" spans="2:8" x14ac:dyDescent="0.25">
      <c r="B62" t="s">
        <v>326</v>
      </c>
      <c r="D62" s="323">
        <v>0.6</v>
      </c>
      <c r="E62" s="85">
        <f>D34</f>
        <v>1200.2968192834892</v>
      </c>
      <c r="F62" s="319">
        <f>D62*E62</f>
        <v>720.17809157009344</v>
      </c>
    </row>
    <row r="63" spans="2:8" x14ac:dyDescent="0.25">
      <c r="B63" t="s">
        <v>315</v>
      </c>
      <c r="D63" s="278">
        <f>1-D62</f>
        <v>0.4</v>
      </c>
      <c r="E63" s="85">
        <f>D55</f>
        <v>1969.5212760199165</v>
      </c>
      <c r="F63" s="319">
        <f>D63*E63</f>
        <v>787.80851040796665</v>
      </c>
    </row>
    <row r="64" spans="2:8" x14ac:dyDescent="0.25">
      <c r="B64" s="1" t="s">
        <v>327</v>
      </c>
      <c r="C64" s="1"/>
      <c r="D64" s="1"/>
      <c r="E64" s="1"/>
      <c r="F64" s="272">
        <f>SUM(F62:F63)</f>
        <v>1507.9866019780602</v>
      </c>
    </row>
    <row r="65" spans="2:11" s="88" customFormat="1" x14ac:dyDescent="0.25">
      <c r="E65" s="320"/>
    </row>
    <row r="67" spans="2:11" x14ac:dyDescent="0.25">
      <c r="B67" s="27" t="s">
        <v>307</v>
      </c>
    </row>
    <row r="69" spans="2:11" x14ac:dyDescent="0.25">
      <c r="B69" s="149" t="s">
        <v>308</v>
      </c>
      <c r="E69" s="20"/>
      <c r="F69" s="280"/>
      <c r="G69" s="281"/>
      <c r="H69" s="280"/>
      <c r="I69" s="282" t="s">
        <v>309</v>
      </c>
      <c r="J69" s="280"/>
      <c r="K69" s="280"/>
    </row>
    <row r="70" spans="2:11" x14ac:dyDescent="0.25">
      <c r="E70" s="280"/>
      <c r="F70" s="283">
        <f>D34</f>
        <v>1200.2968192834892</v>
      </c>
      <c r="G70" s="284">
        <v>0.03</v>
      </c>
      <c r="H70" s="284">
        <v>0.04</v>
      </c>
      <c r="I70" s="285">
        <v>0.05</v>
      </c>
      <c r="J70" s="284">
        <v>0.06</v>
      </c>
      <c r="K70" s="286">
        <v>7.0000000000000007E-2</v>
      </c>
    </row>
    <row r="71" spans="2:11" x14ac:dyDescent="0.25">
      <c r="E71" s="280"/>
      <c r="F71" s="287">
        <v>0.12</v>
      </c>
      <c r="G71" s="283">
        <f t="dataTable" ref="G71:K75" dt2D="1" dtr="1" r1="D16" r2="D14" ca="1"/>
        <v>1329.8518463126375</v>
      </c>
      <c r="H71" s="288">
        <v>1495.6060755382455</v>
      </c>
      <c r="I71" s="289">
        <v>1708.7186559711699</v>
      </c>
      <c r="J71" s="288">
        <v>1992.8687632150693</v>
      </c>
      <c r="K71" s="290">
        <v>2390.678913356528</v>
      </c>
    </row>
    <row r="72" spans="2:11" x14ac:dyDescent="0.25">
      <c r="E72" s="280"/>
      <c r="F72" s="287">
        <v>0.13</v>
      </c>
      <c r="G72" s="291">
        <v>1148.4055658269745</v>
      </c>
      <c r="H72" s="292">
        <v>1276.3769660820808</v>
      </c>
      <c r="I72" s="293">
        <v>1436.3412164009633</v>
      </c>
      <c r="J72" s="292">
        <v>1642.0095382395264</v>
      </c>
      <c r="K72" s="294">
        <v>1916.2339673576109</v>
      </c>
    </row>
    <row r="73" spans="2:11" x14ac:dyDescent="0.25">
      <c r="E73" s="282" t="s">
        <v>256</v>
      </c>
      <c r="F73" s="295">
        <v>0.14000000000000001</v>
      </c>
      <c r="G73" s="296">
        <v>1000.5523862569022</v>
      </c>
      <c r="H73" s="293">
        <v>1101.6304967594815</v>
      </c>
      <c r="I73" s="297">
        <v>1225.1704095959674</v>
      </c>
      <c r="J73" s="293">
        <v>1379.595300641575</v>
      </c>
      <c r="K73" s="298">
        <v>1578.1415891287847</v>
      </c>
    </row>
    <row r="74" spans="2:11" x14ac:dyDescent="0.25">
      <c r="E74" s="280"/>
      <c r="F74" s="287">
        <v>0.15</v>
      </c>
      <c r="G74" s="291">
        <v>877.87016081757429</v>
      </c>
      <c r="H74" s="292">
        <v>959.21011299848408</v>
      </c>
      <c r="I74" s="293">
        <v>1056.8180556155755</v>
      </c>
      <c r="J74" s="292">
        <v>1176.1166521475761</v>
      </c>
      <c r="K74" s="294">
        <v>1325.2398978125773</v>
      </c>
    </row>
    <row r="75" spans="2:11" x14ac:dyDescent="0.25">
      <c r="E75" s="280"/>
      <c r="F75" s="299">
        <v>0.16</v>
      </c>
      <c r="G75" s="300">
        <v>774.52933549048589</v>
      </c>
      <c r="H75" s="301">
        <v>841.01264803239189</v>
      </c>
      <c r="I75" s="302">
        <v>919.58383558191679</v>
      </c>
      <c r="J75" s="301">
        <v>1013.8692606413468</v>
      </c>
      <c r="K75" s="303">
        <v>1129.1070023806503</v>
      </c>
    </row>
    <row r="77" spans="2:11" x14ac:dyDescent="0.25">
      <c r="F77" s="20"/>
      <c r="G77" s="20"/>
    </row>
    <row r="79" spans="2:11" x14ac:dyDescent="0.25">
      <c r="B79" s="149" t="s">
        <v>328</v>
      </c>
      <c r="E79" s="20"/>
      <c r="F79" s="280"/>
      <c r="G79" s="281"/>
      <c r="H79" s="280"/>
      <c r="I79" s="282" t="s">
        <v>315</v>
      </c>
      <c r="J79" s="280"/>
      <c r="K79" s="280"/>
    </row>
    <row r="80" spans="2:11" x14ac:dyDescent="0.25">
      <c r="E80" s="280"/>
      <c r="F80" s="283">
        <f>D55</f>
        <v>1969.5212760199165</v>
      </c>
      <c r="G80" s="314">
        <f t="shared" ref="G80" si="4">H80-1</f>
        <v>6.5</v>
      </c>
      <c r="H80" s="314">
        <f>I80-1</f>
        <v>7.5</v>
      </c>
      <c r="I80" s="315">
        <f>D43</f>
        <v>8.5</v>
      </c>
      <c r="J80" s="314">
        <f>I80+1</f>
        <v>9.5</v>
      </c>
      <c r="K80" s="314">
        <f t="shared" ref="K80" si="5">J80+1</f>
        <v>10.5</v>
      </c>
    </row>
    <row r="81" spans="2:11" x14ac:dyDescent="0.25">
      <c r="E81" s="280"/>
      <c r="F81" s="295">
        <f t="shared" ref="F81:F82" si="6">F71</f>
        <v>0.12</v>
      </c>
      <c r="G81" s="283">
        <f t="dataTable" ref="G81:K85" dt2D="1" dtr="1" r1="D43" r2="D14" ca="1"/>
        <v>1693.4668499387162</v>
      </c>
      <c r="H81" s="288">
        <v>1449.9141503672577</v>
      </c>
      <c r="I81" s="289">
        <v>1449.9141503672577</v>
      </c>
      <c r="J81" s="288">
        <v>1693.4668499387162</v>
      </c>
      <c r="K81" s="290">
        <v>2180.5722490816333</v>
      </c>
    </row>
    <row r="82" spans="2:11" x14ac:dyDescent="0.25">
      <c r="E82" s="280"/>
      <c r="F82" s="295">
        <f t="shared" si="6"/>
        <v>0.13</v>
      </c>
      <c r="G82" s="291">
        <v>1612.8601625588365</v>
      </c>
      <c r="H82" s="292">
        <v>1379.8950741079395</v>
      </c>
      <c r="I82" s="293">
        <v>1379.8950741079395</v>
      </c>
      <c r="J82" s="292">
        <v>1612.8601625588365</v>
      </c>
      <c r="K82" s="294">
        <v>2078.7903394606305</v>
      </c>
    </row>
    <row r="83" spans="2:11" x14ac:dyDescent="0.25">
      <c r="E83" s="282" t="s">
        <v>256</v>
      </c>
      <c r="F83" s="295">
        <f>F73</f>
        <v>0.14000000000000001</v>
      </c>
      <c r="G83" s="296">
        <v>1536.3153883518003</v>
      </c>
      <c r="H83" s="293">
        <v>1313.3903734307808</v>
      </c>
      <c r="I83" s="297">
        <v>1313.3903734307808</v>
      </c>
      <c r="J83" s="293">
        <v>1536.3153883518003</v>
      </c>
      <c r="K83" s="298">
        <v>1982.1654181938381</v>
      </c>
    </row>
    <row r="84" spans="2:11" x14ac:dyDescent="0.25">
      <c r="E84" s="280"/>
      <c r="F84" s="295">
        <f t="shared" ref="F84:F85" si="7">F74</f>
        <v>0.15</v>
      </c>
      <c r="G84" s="291">
        <v>1463.593030702019</v>
      </c>
      <c r="H84" s="292">
        <v>1250.19330380211</v>
      </c>
      <c r="I84" s="293">
        <v>1250.19330380211</v>
      </c>
      <c r="J84" s="292">
        <v>1463.593030702019</v>
      </c>
      <c r="K84" s="294">
        <v>1890.3924845018364</v>
      </c>
    </row>
    <row r="85" spans="2:11" x14ac:dyDescent="0.25">
      <c r="E85" s="280"/>
      <c r="F85" s="295">
        <f t="shared" si="7"/>
        <v>0.16</v>
      </c>
      <c r="G85" s="300">
        <v>1394.469677605475</v>
      </c>
      <c r="H85" s="301">
        <v>1190.1109853148459</v>
      </c>
      <c r="I85" s="302">
        <v>1190.1109853148459</v>
      </c>
      <c r="J85" s="301">
        <v>1394.469677605475</v>
      </c>
      <c r="K85" s="303">
        <v>1803.1870621867331</v>
      </c>
    </row>
    <row r="87" spans="2:11" x14ac:dyDescent="0.25">
      <c r="B87" s="149" t="s">
        <v>310</v>
      </c>
      <c r="C87" s="20"/>
      <c r="D87" s="20"/>
      <c r="E87" s="20"/>
    </row>
    <row r="88" spans="2:11" x14ac:dyDescent="0.25">
      <c r="B88" s="149" t="s">
        <v>311</v>
      </c>
      <c r="C88" s="20"/>
      <c r="E88" s="304" t="s">
        <v>312</v>
      </c>
    </row>
    <row r="89" spans="2:11" x14ac:dyDescent="0.25">
      <c r="B89" s="20"/>
      <c r="C89" s="20"/>
      <c r="E89" s="304" t="s">
        <v>313</v>
      </c>
    </row>
    <row r="90" spans="2:11" x14ac:dyDescent="0.25">
      <c r="E90" s="304" t="s">
        <v>320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7C6D-CD9B-4B43-AB04-2109101E498F}">
  <dimension ref="A1:R60"/>
  <sheetViews>
    <sheetView showGridLines="0" zoomScale="10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52" sqref="H52"/>
    </sheetView>
  </sheetViews>
  <sheetFormatPr defaultRowHeight="13.2" x14ac:dyDescent="0.25"/>
  <cols>
    <col min="1" max="1" width="4.109375" customWidth="1"/>
    <col min="2" max="2" width="39.44140625" customWidth="1"/>
    <col min="4" max="4" width="8.21875" customWidth="1"/>
    <col min="5" max="13" width="14.109375" customWidth="1"/>
  </cols>
  <sheetData>
    <row r="1" spans="1:18" x14ac:dyDescent="0.25">
      <c r="N1" t="s">
        <v>194</v>
      </c>
    </row>
    <row r="2" spans="1:18" ht="13.8" thickBot="1" x14ac:dyDescent="0.3">
      <c r="A2" s="3" t="str">
        <f>IS!A2</f>
        <v>(Unless Otherwise specified, all financials are in ₹ Cr)</v>
      </c>
      <c r="D2" s="1" t="s">
        <v>201</v>
      </c>
      <c r="E2" s="5">
        <f>IS!E2</f>
        <v>45016</v>
      </c>
      <c r="F2" s="5">
        <f>IS!F2</f>
        <v>45382</v>
      </c>
      <c r="G2" s="5">
        <f>IS!G2</f>
        <v>45747</v>
      </c>
      <c r="H2" s="90">
        <f>IS!H2</f>
        <v>46112</v>
      </c>
      <c r="I2" s="167">
        <f>IS!I2</f>
        <v>46477</v>
      </c>
      <c r="J2" s="167">
        <f>IS!J2</f>
        <v>46843</v>
      </c>
      <c r="K2" s="167">
        <f>IS!K2</f>
        <v>47208</v>
      </c>
      <c r="L2" s="167">
        <f>IS!L2</f>
        <v>47573</v>
      </c>
      <c r="M2" s="167">
        <f>IS!M2</f>
        <v>47938</v>
      </c>
      <c r="N2" t="s">
        <v>194</v>
      </c>
      <c r="O2" s="155">
        <f>E2</f>
        <v>45016</v>
      </c>
      <c r="P2" s="155">
        <f t="shared" ref="P2:R2" si="0">F2</f>
        <v>45382</v>
      </c>
      <c r="Q2" s="155">
        <f t="shared" si="0"/>
        <v>45747</v>
      </c>
      <c r="R2" s="155">
        <f t="shared" si="0"/>
        <v>46112</v>
      </c>
    </row>
    <row r="3" spans="1:18" x14ac:dyDescent="0.25">
      <c r="N3" t="s">
        <v>194</v>
      </c>
    </row>
    <row r="4" spans="1:18" x14ac:dyDescent="0.25">
      <c r="B4" t="s">
        <v>207</v>
      </c>
      <c r="E4" s="123">
        <f>IS!E20*(1-Assumptions!E37)</f>
        <v>114.447010398613</v>
      </c>
      <c r="F4" s="123">
        <f>IS!F20*(1-Assumptions!F37)</f>
        <v>142.39871743486961</v>
      </c>
      <c r="G4" s="123">
        <f>IS!G20*(1-Assumptions!G37)</f>
        <v>195.34923640026835</v>
      </c>
      <c r="H4" s="123">
        <f>IS!H20*(1-Assumptions!H37)</f>
        <v>221.80497307538963</v>
      </c>
      <c r="I4" s="123">
        <f>IS!I20*(1-Assumptions!I37)</f>
        <v>307.67317482480905</v>
      </c>
      <c r="J4" s="123">
        <f>IS!J20*(1-Assumptions!J37)</f>
        <v>380.94517702879142</v>
      </c>
      <c r="K4" s="123">
        <f>IS!K20*(1-Assumptions!K37)</f>
        <v>459.80534518245162</v>
      </c>
      <c r="L4" s="123">
        <f>IS!L20*(1-Assumptions!L37)</f>
        <v>551.4150123476835</v>
      </c>
      <c r="M4" s="123">
        <f>IS!M20*(1-Assumptions!M37)</f>
        <v>672.9977542771727</v>
      </c>
    </row>
    <row r="5" spans="1:18" x14ac:dyDescent="0.25">
      <c r="B5" t="s">
        <v>208</v>
      </c>
      <c r="E5" s="123">
        <f>BS!E45+BS!E38+BS!E37+BS!E31-BS!E8-BS!E9-BS!E16</f>
        <v>1529.97</v>
      </c>
      <c r="F5" s="123">
        <f>BS!F45+BS!F38+BS!F37+BS!F31-BS!F8-BS!F9-BS!F16</f>
        <v>1589.3100000000002</v>
      </c>
      <c r="G5" s="123">
        <f>BS!G45+BS!G38+BS!G37+BS!G31-BS!G8-BS!G9-BS!G16</f>
        <v>1617.99</v>
      </c>
      <c r="H5" s="123">
        <f>BS!H45+BS!H38+BS!H37+BS!H31-BS!H8-BS!H9-BS!H16</f>
        <v>1740.5500000000002</v>
      </c>
      <c r="I5" s="123">
        <f>BS!I45+BS!I38+BS!I37+BS!I31-BS!I8-BS!I9-BS!I16</f>
        <v>1874.6322076026402</v>
      </c>
      <c r="J5" s="123">
        <f>BS!J45+BS!J38+BS!J37+BS!J31-BS!J8-BS!J9-BS!J16</f>
        <v>1984.384739121914</v>
      </c>
      <c r="K5" s="123">
        <f>BS!K45+BS!K38+BS!K37+BS!K31-BS!K8-BS!K9-BS!K16</f>
        <v>2090.5534887041013</v>
      </c>
      <c r="L5" s="123">
        <f>BS!L45+BS!L38+BS!L37+BS!L31-BS!L8-BS!L9-BS!L16</f>
        <v>2180.9200123069131</v>
      </c>
      <c r="M5" s="123">
        <f>BS!M45+BS!M38+BS!M37+BS!M31-BS!M8-BS!M9-BS!M16</f>
        <v>2318.5615208421832</v>
      </c>
    </row>
    <row r="6" spans="1:18" x14ac:dyDescent="0.25">
      <c r="B6" t="s">
        <v>240</v>
      </c>
      <c r="C6" s="173">
        <v>3848</v>
      </c>
    </row>
    <row r="8" spans="1:18" x14ac:dyDescent="0.25">
      <c r="A8" s="1" t="s">
        <v>175</v>
      </c>
    </row>
    <row r="9" spans="1:18" x14ac:dyDescent="0.25">
      <c r="B9" t="s">
        <v>193</v>
      </c>
      <c r="E9" s="168">
        <f>SUM(BS!E31,BS!E37,BS!E38)/BS!E45</f>
        <v>1.0104996332848668</v>
      </c>
      <c r="F9" s="168">
        <f>SUM(BS!F31,BS!F37,BS!F38)/BS!F45</f>
        <v>0.91619841914926203</v>
      </c>
      <c r="G9" s="168">
        <f>SUM(BS!G31,BS!G37,BS!G38)/BS!G45</f>
        <v>0.79016741562188308</v>
      </c>
      <c r="H9" s="168">
        <f>SUM(BS!H31,BS!H37,BS!H38)/BS!H45</f>
        <v>0.72812414093826139</v>
      </c>
      <c r="I9" s="168">
        <f>SUM(BS!I31,BS!I37,BS!I38)/BS!I45</f>
        <v>0.57288891509310824</v>
      </c>
      <c r="J9" s="168">
        <f>SUM(BS!J31,BS!J37,BS!J38)/BS!J45</f>
        <v>0.44584367899029059</v>
      </c>
      <c r="K9" s="168">
        <f>SUM(BS!K31,BS!K37,BS!K38)/BS!K45</f>
        <v>0.37407557155363358</v>
      </c>
      <c r="L9" s="168">
        <f>SUM(BS!L31,BS!L37,BS!L38)/BS!L45</f>
        <v>0.31353249900897334</v>
      </c>
      <c r="M9" s="168">
        <f>SUM(BS!M31,BS!M37,BS!M38)/BS!M45</f>
        <v>0.27104074605734568</v>
      </c>
      <c r="N9" t="s">
        <v>194</v>
      </c>
    </row>
    <row r="10" spans="1:18" x14ac:dyDescent="0.25">
      <c r="B10" t="s">
        <v>178</v>
      </c>
      <c r="E10" s="168">
        <f>SUM(BS!E31,BS!E37,BS!E38,-BS!E8)/IS!E17</f>
        <v>3.5760252654705305</v>
      </c>
      <c r="F10" s="168">
        <f>SUM(BS!F31,BS!F37,BS!F38,-BS!F8)/IS!F17</f>
        <v>2.9074735773122216</v>
      </c>
      <c r="G10" s="168">
        <f>SUM(BS!G31,BS!G37,BS!G38,-BS!G8)/IS!G17</f>
        <v>2.078243354421403</v>
      </c>
      <c r="H10" s="168">
        <f>SUM(BS!H31,BS!H37,BS!H38,-BS!H8)/IS!H17</f>
        <v>1.8518482631655417</v>
      </c>
      <c r="I10" s="168">
        <f>SUM(BS!I31,BS!I37,BS!I38,-BS!I8)/IS!I17</f>
        <v>1.2950449569854463</v>
      </c>
      <c r="J10" s="168">
        <f>SUM(BS!J31,BS!J37,BS!J38,-BS!J8)/IS!J17</f>
        <v>0.77029986045068477</v>
      </c>
      <c r="K10" s="168">
        <f>SUM(BS!K31,BS!K37,BS!K38,-BS!K8)/IS!K17</f>
        <v>0.29803708526376466</v>
      </c>
      <c r="L10" s="168">
        <f>SUM(BS!L31,BS!L37,BS!L38,-BS!L8)/IS!L17</f>
        <v>-0.14403788269799814</v>
      </c>
      <c r="M10" s="168">
        <f>SUM(BS!M31,BS!M37,BS!M38,-BS!M8)/IS!M17</f>
        <v>-0.51719548404839022</v>
      </c>
      <c r="N10" t="s">
        <v>194</v>
      </c>
    </row>
    <row r="11" spans="1:18" x14ac:dyDescent="0.25">
      <c r="B11" t="s">
        <v>179</v>
      </c>
      <c r="E11" s="168">
        <f>IS!E17/IS!E23</f>
        <v>2.1238456304073057</v>
      </c>
      <c r="F11" s="168">
        <f>IS!F17/IS!F23</f>
        <v>2.1703673469387748</v>
      </c>
      <c r="G11" s="168">
        <f>IS!G17/IS!G23</f>
        <v>2.8997203027311595</v>
      </c>
      <c r="H11" s="168">
        <f>IS!H17/IS!H23</f>
        <v>3.4470607882431579</v>
      </c>
      <c r="I11" s="168">
        <f>IS!I17/IS!I23</f>
        <v>7.1178002707205907</v>
      </c>
      <c r="J11" s="168">
        <f>IS!J17/IS!J23</f>
        <v>8.9659556196147498</v>
      </c>
      <c r="K11" s="168">
        <f>IS!K17/IS!K23</f>
        <v>10.628647285437182</v>
      </c>
      <c r="L11" s="168">
        <f>IS!L17/IS!L23</f>
        <v>12.172603690607948</v>
      </c>
      <c r="M11" s="168">
        <f>IS!M17/IS!M23</f>
        <v>13.975724589067307</v>
      </c>
      <c r="N11" t="s">
        <v>194</v>
      </c>
    </row>
    <row r="12" spans="1:18" x14ac:dyDescent="0.25">
      <c r="B12" t="s">
        <v>195</v>
      </c>
      <c r="E12" s="168">
        <f>(IS!E17-CF!E8)/(-Assumptions!E73-CF!E32-CF!E35)</f>
        <v>0.78111555009219258</v>
      </c>
      <c r="F12" s="168">
        <f>(IS!F17-CF!F8)/(-Assumptions!F73-CF!F32-CF!F35)</f>
        <v>0.93740360380694387</v>
      </c>
      <c r="G12" s="168">
        <f>(IS!G17-CF!G8)/(-Assumptions!G73-CF!G32-CF!G35)</f>
        <v>1.4666604711676956</v>
      </c>
      <c r="H12" s="168">
        <f>(IS!H17-CF!H8)/(-Assumptions!H73-CF!H32-CF!H35)</f>
        <v>1.3422189403729028</v>
      </c>
      <c r="I12" s="168">
        <f>(IS!I17-CF!I8)/(-Assumptions!I73-CF!I32-CF!I35)</f>
        <v>2.3445444396167354</v>
      </c>
      <c r="J12" s="168">
        <f>(IS!J17-CF!J8)/(-Assumptions!J73-CF!J32-CF!J35)</f>
        <v>2.7748879458635844</v>
      </c>
      <c r="K12" s="168">
        <f>(IS!K17-CF!K8)/(-Assumptions!K73-CF!K32-CF!K35)</f>
        <v>3.1757473165148027</v>
      </c>
      <c r="L12" s="168">
        <f>(IS!L17-CF!L8)/(-Assumptions!L73-CF!L32-CF!L35)</f>
        <v>3.712009819495877</v>
      </c>
      <c r="M12" s="168">
        <f>(IS!M17-CF!M8)/(-Assumptions!M73-CF!M32-CF!M35)</f>
        <v>4.4984797108806971</v>
      </c>
      <c r="N12" t="s">
        <v>194</v>
      </c>
    </row>
    <row r="13" spans="1:18" x14ac:dyDescent="0.25">
      <c r="N13" t="s">
        <v>194</v>
      </c>
    </row>
    <row r="14" spans="1:18" x14ac:dyDescent="0.25">
      <c r="A14" s="1" t="s">
        <v>196</v>
      </c>
      <c r="N14" t="s">
        <v>194</v>
      </c>
    </row>
    <row r="15" spans="1:18" x14ac:dyDescent="0.25">
      <c r="B15" t="s">
        <v>197</v>
      </c>
      <c r="D15" s="170" t="s">
        <v>202</v>
      </c>
      <c r="E15" s="168">
        <f>BS!E13/BS!E34</f>
        <v>0.93413204128580452</v>
      </c>
      <c r="F15" s="168">
        <f>BS!F13/BS!F34</f>
        <v>0.94178230131386231</v>
      </c>
      <c r="G15" s="168">
        <f>BS!G13/BS!G34</f>
        <v>0.92877659574468086</v>
      </c>
      <c r="H15" s="168">
        <f>BS!H13/BS!H34</f>
        <v>0.87445052415270463</v>
      </c>
      <c r="I15" s="168">
        <f>BS!I13/BS!I34</f>
        <v>0.93228327005780154</v>
      </c>
      <c r="J15" s="168">
        <f>BS!J13/BS!J34</f>
        <v>1.0112595141245855</v>
      </c>
      <c r="K15" s="168">
        <f>BS!K13/BS!K34</f>
        <v>1.1032397726272427</v>
      </c>
      <c r="L15" s="168">
        <f>BS!L13/BS!L34</f>
        <v>1.2083631642446835</v>
      </c>
      <c r="M15" s="168">
        <f>BS!M13/BS!M34</f>
        <v>1.3293077271920668</v>
      </c>
      <c r="N15" t="s">
        <v>194</v>
      </c>
    </row>
    <row r="16" spans="1:18" x14ac:dyDescent="0.25">
      <c r="B16" t="s">
        <v>198</v>
      </c>
      <c r="D16" s="170" t="s">
        <v>202</v>
      </c>
      <c r="E16" s="168">
        <f>(BS!E13-BS!E11)/BS!E34</f>
        <v>0.50444310987154173</v>
      </c>
      <c r="F16" s="168">
        <f>(BS!F13-BS!F11)/BS!F34</f>
        <v>0.47687307056084111</v>
      </c>
      <c r="G16" s="168">
        <f>(BS!G13-BS!G11)/BS!G34</f>
        <v>0.51971808510638295</v>
      </c>
      <c r="H16" s="168">
        <f>(BS!H13-BS!H11)/BS!H34</f>
        <v>0.51269065055032392</v>
      </c>
      <c r="I16" s="168">
        <f>(BS!I13-BS!I11)/BS!I34</f>
        <v>0.55121298454109724</v>
      </c>
      <c r="J16" s="168">
        <f>(BS!J13-BS!J11)/BS!J34</f>
        <v>0.62565160847663015</v>
      </c>
      <c r="K16" s="168">
        <f>(BS!K13-BS!K11)/BS!K34</f>
        <v>0.69470048995680034</v>
      </c>
      <c r="L16" s="168">
        <f>(BS!L13-BS!L11)/BS!L34</f>
        <v>0.81145307261025046</v>
      </c>
      <c r="M16" s="168">
        <f>(BS!M13-BS!M11)/BS!M34</f>
        <v>0.92508887430548403</v>
      </c>
      <c r="N16" t="s">
        <v>194</v>
      </c>
    </row>
    <row r="17" spans="1:14" x14ac:dyDescent="0.25">
      <c r="B17" t="s">
        <v>199</v>
      </c>
      <c r="D17" s="170" t="s">
        <v>202</v>
      </c>
      <c r="E17" s="169">
        <f>BS!E8/BS!E34</f>
        <v>2.0561470654099061E-3</v>
      </c>
      <c r="F17" s="169">
        <f>BS!F8/BS!F34</f>
        <v>2.5076123947698368E-3</v>
      </c>
      <c r="G17" s="169">
        <f>BS!G8/BS!G34</f>
        <v>2.2340425531914895E-3</v>
      </c>
      <c r="H17" s="169">
        <f>BS!H8/BS!H34</f>
        <v>1.7641385527278721E-3</v>
      </c>
      <c r="I17" s="169">
        <f>BS!I8/BS!I34</f>
        <v>2.654740376205332E-2</v>
      </c>
      <c r="J17" s="169">
        <f>BS!J8/BS!J34</f>
        <v>8.1096210922148929E-2</v>
      </c>
      <c r="K17" s="169">
        <f>BS!K8/BS!K34</f>
        <v>0.16722105567657147</v>
      </c>
      <c r="L17" s="169">
        <f>BS!L8/BS!L34</f>
        <v>0.25767101742517101</v>
      </c>
      <c r="M17" s="169">
        <f>BS!M8/BS!M34</f>
        <v>0.34768095371825269</v>
      </c>
      <c r="N17" t="s">
        <v>194</v>
      </c>
    </row>
    <row r="18" spans="1:14" x14ac:dyDescent="0.25">
      <c r="B18" t="s">
        <v>200</v>
      </c>
      <c r="D18" s="171" t="s">
        <v>202</v>
      </c>
      <c r="E18" s="168">
        <f>CF!E20/BS!E34</f>
        <v>0.18965920889232712</v>
      </c>
      <c r="F18" s="168">
        <f>CF!F20/BS!F34</f>
        <v>0.17349938363308787</v>
      </c>
      <c r="G18" s="168">
        <f>CF!G20/BS!G34</f>
        <v>0.21301595744680848</v>
      </c>
      <c r="H18" s="168">
        <f>CF!H20/BS!H34</f>
        <v>0.23135417020059804</v>
      </c>
      <c r="I18" s="168">
        <f>CF!I20/BS!I34</f>
        <v>0.18551139090973157</v>
      </c>
      <c r="J18" s="168">
        <f>CF!J20/BS!J34</f>
        <v>0.20059355770088885</v>
      </c>
      <c r="K18" s="168">
        <f>CF!K20/BS!K34</f>
        <v>0.20702460577157247</v>
      </c>
      <c r="L18" s="168">
        <f>CF!L20/BS!L34</f>
        <v>0.20846292631205871</v>
      </c>
      <c r="M18" s="168">
        <f>CF!M20/BS!M34</f>
        <v>0.19413097504317695</v>
      </c>
      <c r="N18" t="s">
        <v>194</v>
      </c>
    </row>
    <row r="19" spans="1:14" x14ac:dyDescent="0.25">
      <c r="N19" t="s">
        <v>194</v>
      </c>
    </row>
    <row r="20" spans="1:14" x14ac:dyDescent="0.25">
      <c r="A20" s="1" t="s">
        <v>203</v>
      </c>
      <c r="N20" t="s">
        <v>194</v>
      </c>
    </row>
    <row r="21" spans="1:14" x14ac:dyDescent="0.25">
      <c r="B21" t="s">
        <v>204</v>
      </c>
      <c r="E21" s="122"/>
      <c r="F21" s="122">
        <f>F4/AVERAGE(BS!E24:F24)</f>
        <v>4.6583558353423093E-2</v>
      </c>
      <c r="G21" s="122">
        <f>G4/AVERAGE(BS!F24:G24)</f>
        <v>6.2089152043616216E-2</v>
      </c>
      <c r="H21" s="122">
        <f>H4/AVERAGE(BS!G24:H24)</f>
        <v>6.605929211978849E-2</v>
      </c>
      <c r="I21" s="122">
        <f>I4/AVERAGE(BS!H24:I24)</f>
        <v>8.164424794551127E-2</v>
      </c>
      <c r="J21" s="122">
        <f>J4/AVERAGE(BS!I24:J24)</f>
        <v>8.8374155962116424E-2</v>
      </c>
      <c r="K21" s="122">
        <f>K4/AVERAGE(BS!J24:K24)</f>
        <v>9.2666283622935414E-2</v>
      </c>
      <c r="L21" s="122">
        <f>L4/AVERAGE(BS!K24:L24)</f>
        <v>9.6270654066327968E-2</v>
      </c>
      <c r="M21" s="122">
        <f>M4/AVERAGE(BS!L24:M24)</f>
        <v>0.10100879037586298</v>
      </c>
      <c r="N21" t="s">
        <v>194</v>
      </c>
    </row>
    <row r="22" spans="1:14" x14ac:dyDescent="0.25">
      <c r="B22" t="s">
        <v>205</v>
      </c>
      <c r="E22" s="122">
        <f>IS!E20/(BS!E24-BS!E34)</f>
        <v>0.14007715059681591</v>
      </c>
      <c r="F22" s="122">
        <f>IS!F20/(BS!F24-BS!F34)</f>
        <v>0.15005970545309805</v>
      </c>
      <c r="G22" s="122">
        <f>IS!G20/(BS!G24-BS!G34)</f>
        <v>0.19815805564047673</v>
      </c>
      <c r="H22" s="122">
        <f>IS!H20/(BS!H24-BS!H34)</f>
        <v>0.2032932495217277</v>
      </c>
      <c r="I22" s="122">
        <f>IS!I20/(BS!I24-BS!I34)</f>
        <v>0.24522335713654789</v>
      </c>
      <c r="J22" s="122">
        <f>IS!J20/(BS!J24-BS!J34)</f>
        <v>0.25816151473472243</v>
      </c>
      <c r="K22" s="122">
        <f>IS!K20/(BS!K24-BS!K34)</f>
        <v>0.26206047920288872</v>
      </c>
      <c r="L22" s="122">
        <f>IS!L20/(BS!L24-BS!L34)</f>
        <v>0.26349374311358387</v>
      </c>
      <c r="M22" s="122">
        <f>IS!M20/(BS!M24-BS!M34)</f>
        <v>0.26678483416889354</v>
      </c>
      <c r="N22" t="s">
        <v>194</v>
      </c>
    </row>
    <row r="23" spans="1:14" x14ac:dyDescent="0.25">
      <c r="B23" t="s">
        <v>206</v>
      </c>
      <c r="E23" s="122">
        <f>E4/E5</f>
        <v>7.4803434314798981E-2</v>
      </c>
      <c r="F23" s="122">
        <f t="shared" ref="F23:M23" si="1">F4/F5</f>
        <v>8.9597823857441028E-2</v>
      </c>
      <c r="G23" s="122">
        <f t="shared" si="1"/>
        <v>0.12073575015931394</v>
      </c>
      <c r="H23" s="122">
        <f t="shared" si="1"/>
        <v>0.12743384164510621</v>
      </c>
      <c r="I23" s="122">
        <f t="shared" si="1"/>
        <v>0.16412455391357789</v>
      </c>
      <c r="J23" s="122">
        <f t="shared" si="1"/>
        <v>0.19197143049858309</v>
      </c>
      <c r="K23" s="122">
        <f t="shared" si="1"/>
        <v>0.21994431028286063</v>
      </c>
      <c r="L23" s="122">
        <f t="shared" si="1"/>
        <v>0.25283596337144565</v>
      </c>
      <c r="M23" s="122">
        <f t="shared" si="1"/>
        <v>0.29026521324856464</v>
      </c>
      <c r="N23" t="s">
        <v>194</v>
      </c>
    </row>
    <row r="24" spans="1:14" x14ac:dyDescent="0.25">
      <c r="N24" t="s">
        <v>194</v>
      </c>
    </row>
    <row r="25" spans="1:14" x14ac:dyDescent="0.25">
      <c r="A25" s="1" t="s">
        <v>214</v>
      </c>
      <c r="N25" t="s">
        <v>194</v>
      </c>
    </row>
    <row r="26" spans="1:14" x14ac:dyDescent="0.25">
      <c r="B26" t="s">
        <v>215</v>
      </c>
      <c r="E26" s="122"/>
      <c r="F26" s="122">
        <f>IS!F27/IS!F8</f>
        <v>1.1833725112008496E-2</v>
      </c>
      <c r="G26" s="122">
        <f>IS!G27/IS!G8</f>
        <v>2.3646825731388533E-2</v>
      </c>
      <c r="H26" s="122">
        <f>IS!H27/IS!H8</f>
        <v>2.7358031378203723E-2</v>
      </c>
      <c r="I26" s="122">
        <f>IS!I27/IS!I8</f>
        <v>4.1822454699173624E-2</v>
      </c>
      <c r="J26" s="122">
        <f>IS!J27/IS!J8</f>
        <v>4.5992277928756625E-2</v>
      </c>
      <c r="K26" s="122">
        <f>IS!K27/IS!K8</f>
        <v>5.0007400410406778E-2</v>
      </c>
      <c r="L26" s="122">
        <f>IS!L27/IS!L8</f>
        <v>5.3272307454845146E-2</v>
      </c>
      <c r="M26" s="122">
        <f>IS!M27/IS!M8</f>
        <v>5.7371819680351738E-2</v>
      </c>
      <c r="N26" t="s">
        <v>194</v>
      </c>
    </row>
    <row r="27" spans="1:14" x14ac:dyDescent="0.25">
      <c r="B27" t="s">
        <v>210</v>
      </c>
      <c r="E27" s="153"/>
      <c r="F27" s="153">
        <f>IS!F$8/AVERAGE(BS!E24:F24)</f>
        <v>1.6282474250411783</v>
      </c>
      <c r="G27" s="153">
        <f>IS!G$8/AVERAGE(BS!F24:G24)</f>
        <v>1.507944327727754</v>
      </c>
      <c r="H27" s="153">
        <f>IS!H$8/AVERAGE(BS!G24:H24)</f>
        <v>1.6276013241344804</v>
      </c>
      <c r="I27" s="153">
        <f>IS!I$8/AVERAGE(BS!H24:I24)</f>
        <v>1.7027991871467136</v>
      </c>
      <c r="J27" s="153">
        <f>IS!J$8/AVERAGE(BS!I24:J24)</f>
        <v>1.7410412743495767</v>
      </c>
      <c r="K27" s="153">
        <f>IS!K$8/AVERAGE(BS!J24:K24)</f>
        <v>1.7145645304425114</v>
      </c>
      <c r="L27" s="153">
        <f>IS!L$8/AVERAGE(BS!K24:L24)</f>
        <v>1.6918592489224524</v>
      </c>
      <c r="M27" s="153">
        <f>IS!M$8/AVERAGE(BS!L24:M24)</f>
        <v>1.6646013609054251</v>
      </c>
      <c r="N27" t="s">
        <v>194</v>
      </c>
    </row>
    <row r="28" spans="1:14" x14ac:dyDescent="0.25">
      <c r="B28" t="s">
        <v>216</v>
      </c>
      <c r="E28" s="153"/>
      <c r="F28" s="153">
        <f>AVERAGE(BS!E24:F24)/AVERAGE(BS!E45:F45)</f>
        <v>3.7597719669388958</v>
      </c>
      <c r="G28" s="153">
        <f>AVERAGE(BS!F24:G24)/AVERAGE(BS!F45:G45)</f>
        <v>3.5325152134372257</v>
      </c>
      <c r="H28" s="153">
        <f>AVERAGE(BS!G24:H24)/AVERAGE(BS!G45:H45)</f>
        <v>3.3790544144434267</v>
      </c>
      <c r="I28" s="153">
        <f>AVERAGE(BS!H24:I24)/AVERAGE(BS!H45:I45)</f>
        <v>3.2348348003486604</v>
      </c>
      <c r="J28" s="153">
        <f>AVERAGE(BS!I24:J24)/AVERAGE(BS!I45:J45)</f>
        <v>3.0393975540793896</v>
      </c>
      <c r="K28" s="153">
        <f>AVERAGE(BS!J24:K24)/AVERAGE(BS!J45:K45)</f>
        <v>2.8514153135433045</v>
      </c>
      <c r="L28" s="153">
        <f>AVERAGE(BS!K24:L24)/AVERAGE(BS!K45:L45)</f>
        <v>2.6851864494677895</v>
      </c>
      <c r="M28" s="153">
        <f>AVERAGE(BS!L24:M24)/AVERAGE(BS!L45:M45)</f>
        <v>2.5452134671198938</v>
      </c>
      <c r="N28" t="s">
        <v>194</v>
      </c>
    </row>
    <row r="29" spans="1:14" x14ac:dyDescent="0.25">
      <c r="B29" s="1" t="s">
        <v>217</v>
      </c>
      <c r="C29" s="1"/>
      <c r="D29" s="1"/>
      <c r="E29" s="1"/>
      <c r="F29" s="172">
        <f>F28*F27*F26</f>
        <v>7.2444160188920456E-2</v>
      </c>
      <c r="G29" s="172">
        <f t="shared" ref="G29:M29" si="2">G28*G27*G26</f>
        <v>0.12596276918240376</v>
      </c>
      <c r="H29" s="172">
        <f t="shared" si="2"/>
        <v>0.15046242716394845</v>
      </c>
      <c r="I29" s="172">
        <f t="shared" si="2"/>
        <v>0.2303695427041377</v>
      </c>
      <c r="J29" s="172">
        <f t="shared" si="2"/>
        <v>0.24337810016471689</v>
      </c>
      <c r="K29" s="172">
        <f t="shared" si="2"/>
        <v>0.2444829580376808</v>
      </c>
      <c r="L29" s="172">
        <f t="shared" si="2"/>
        <v>0.24201383027186463</v>
      </c>
      <c r="M29" s="172">
        <f t="shared" si="2"/>
        <v>0.24307096357218111</v>
      </c>
      <c r="N29" t="s">
        <v>194</v>
      </c>
    </row>
    <row r="30" spans="1:14" x14ac:dyDescent="0.25">
      <c r="N30" t="s">
        <v>194</v>
      </c>
    </row>
    <row r="31" spans="1:14" x14ac:dyDescent="0.25">
      <c r="A31" s="1" t="s">
        <v>209</v>
      </c>
      <c r="N31" t="s">
        <v>194</v>
      </c>
    </row>
    <row r="32" spans="1:14" x14ac:dyDescent="0.25">
      <c r="B32" t="s">
        <v>212</v>
      </c>
      <c r="E32" s="153"/>
      <c r="F32" s="153">
        <f>IS!F$8/AVERAGE(BS!E17:F17)</f>
        <v>4.3227305295611966</v>
      </c>
      <c r="G32" s="153">
        <f>IS!G$8/AVERAGE(BS!F17:G17)</f>
        <v>3.7927588715415173</v>
      </c>
      <c r="H32" s="153">
        <f>IS!H$8/AVERAGE(BS!G17:H17)</f>
        <v>3.8369573612115513</v>
      </c>
      <c r="I32" s="153">
        <f>IS!I$8/AVERAGE(BS!H17:I17)</f>
        <v>4.0141063319850749</v>
      </c>
      <c r="J32" s="153">
        <f>IS!J$8/AVERAGE(BS!I17:J17)</f>
        <v>4.3816276005058317</v>
      </c>
      <c r="K32" s="153">
        <f>IS!K$8/AVERAGE(BS!J17:K17)</f>
        <v>4.6879781579666737</v>
      </c>
      <c r="L32" s="153">
        <f>IS!L$8/AVERAGE(BS!K17:L17)</f>
        <v>5.1190339493725521</v>
      </c>
      <c r="M32" s="153">
        <f>IS!M$8/AVERAGE(BS!L17:M17)</f>
        <v>5.7420794210263617</v>
      </c>
      <c r="N32" t="s">
        <v>194</v>
      </c>
    </row>
    <row r="33" spans="1:14" x14ac:dyDescent="0.25">
      <c r="B33" t="s">
        <v>213</v>
      </c>
      <c r="E33" s="153"/>
      <c r="F33" s="153">
        <f>(IS!F11+IS!F12)/AVERAGE(BS!E11:F11)</f>
        <v>4.178900490511186</v>
      </c>
      <c r="G33" s="153">
        <f>(IS!G11+IS!G12)/AVERAGE(BS!F11:G11)</f>
        <v>4.010099725708888</v>
      </c>
      <c r="H33" s="153">
        <f>(IS!H11+IS!H12)/AVERAGE(BS!G11:H11)</f>
        <v>4.9301598194607577</v>
      </c>
      <c r="I33" s="153">
        <f>(IS!I11+IS!I12)/AVERAGE(BS!H11:I11)</f>
        <v>5.3636500437158654</v>
      </c>
      <c r="J33" s="153">
        <f>(IS!J11+IS!J12)/AVERAGE(BS!I11:J11)</f>
        <v>5.3651801965478381</v>
      </c>
      <c r="K33" s="153">
        <f>(IS!K11+IS!K12)/AVERAGE(BS!J11:K11)</f>
        <v>5.1852188294127881</v>
      </c>
      <c r="L33" s="153">
        <f>(IS!L11+IS!L12)/AVERAGE(BS!K11:L11)</f>
        <v>5.1685827171262169</v>
      </c>
      <c r="M33" s="153">
        <f>(IS!M11+IS!M12)/AVERAGE(BS!L11:M11)</f>
        <v>5.2224605691415027</v>
      </c>
      <c r="N33" t="s">
        <v>194</v>
      </c>
    </row>
    <row r="34" spans="1:14" x14ac:dyDescent="0.25">
      <c r="B34" t="s">
        <v>211</v>
      </c>
      <c r="E34" s="119">
        <f>BS!E17/IS!E8</f>
        <v>0.23898605721165733</v>
      </c>
      <c r="F34" s="119">
        <f>BS!F17/IS!F8</f>
        <v>0.2393446245956643</v>
      </c>
      <c r="G34" s="119">
        <f>BS!G17/IS!G8</f>
        <v>0.27622670938369454</v>
      </c>
      <c r="H34" s="119">
        <f>BS!H17/IS!H8</f>
        <v>0.28143950345291985</v>
      </c>
      <c r="I34" s="119">
        <f>BS!I17/IS!I8</f>
        <v>0.25855673279564417</v>
      </c>
      <c r="J34" s="119">
        <f>BS!J17/IS!J8</f>
        <v>0.23537769916044882</v>
      </c>
      <c r="K34" s="119">
        <f>BS!K17/IS!K8</f>
        <v>0.21898579881048644</v>
      </c>
      <c r="L34" s="119">
        <f>BS!L17/IS!L8</f>
        <v>0.19844570090146743</v>
      </c>
      <c r="M34" s="119">
        <f>BS!M17/IS!M8</f>
        <v>0.1749151364106698</v>
      </c>
      <c r="N34" t="s">
        <v>194</v>
      </c>
    </row>
    <row r="35" spans="1:14" x14ac:dyDescent="0.25">
      <c r="N35" t="s">
        <v>194</v>
      </c>
    </row>
    <row r="36" spans="1:14" x14ac:dyDescent="0.25">
      <c r="A36" s="1" t="s">
        <v>223</v>
      </c>
      <c r="N36" t="s">
        <v>194</v>
      </c>
    </row>
    <row r="37" spans="1:14" x14ac:dyDescent="0.25">
      <c r="B37" t="s">
        <v>218</v>
      </c>
      <c r="E37" s="153">
        <f>CF!E20/IS!E17</f>
        <v>1.7056481142438702</v>
      </c>
      <c r="F37" s="153">
        <f>CF!F20/IS!F17</f>
        <v>1.2387256930078616</v>
      </c>
      <c r="G37" s="153">
        <f>CF!G20/IS!G17</f>
        <v>1.1361173366620336</v>
      </c>
      <c r="H37" s="153">
        <f>CF!H20/IS!H17</f>
        <v>1.1563393246451219</v>
      </c>
      <c r="I37" s="153">
        <f>CF!I20/IS!I17</f>
        <v>0.83855934264856724</v>
      </c>
      <c r="J37" s="153">
        <f>CF!J20/IS!J17</f>
        <v>0.84582357613371251</v>
      </c>
      <c r="K37" s="153">
        <f>CF!K20/IS!K17</f>
        <v>0.82677524814102621</v>
      </c>
      <c r="L37" s="153">
        <f>CF!L20/IS!L17</f>
        <v>0.79581738994494644</v>
      </c>
      <c r="M37" s="153">
        <f>CF!M20/IS!M17</f>
        <v>0.70556818957970446</v>
      </c>
      <c r="N37" t="s">
        <v>194</v>
      </c>
    </row>
    <row r="38" spans="1:14" x14ac:dyDescent="0.25">
      <c r="B38" t="s">
        <v>219</v>
      </c>
      <c r="E38" s="153">
        <f>CF!E20/IS!E27</f>
        <v>6.8818097876270166</v>
      </c>
      <c r="F38" s="153">
        <f>CF!F20/IS!F27</f>
        <v>5.591511035653661</v>
      </c>
      <c r="G38" s="153">
        <f>CF!G20/IS!G27</f>
        <v>3.5695694803458498</v>
      </c>
      <c r="H38" s="153">
        <f>CF!H20/IS!H27</f>
        <v>3.192829911042725</v>
      </c>
      <c r="I38" s="153">
        <f>CF!I20/IS!I27</f>
        <v>1.6128913283991495</v>
      </c>
      <c r="J38" s="153">
        <f>CF!J20/IS!J27</f>
        <v>1.5337916981853974</v>
      </c>
      <c r="K38" s="153">
        <f>CF!K20/IS!K27</f>
        <v>1.4442355031121514</v>
      </c>
      <c r="L38" s="153">
        <f>CF!L20/IS!L27</f>
        <v>1.3512340480751532</v>
      </c>
      <c r="M38" s="153">
        <f>CF!M20/IS!M27</f>
        <v>1.1628822643746493</v>
      </c>
      <c r="N38" t="s">
        <v>194</v>
      </c>
    </row>
    <row r="39" spans="1:14" x14ac:dyDescent="0.25">
      <c r="B39" t="s">
        <v>220</v>
      </c>
      <c r="E39" s="122">
        <f>(CF!E20+CF!E26)/IS!E8</f>
        <v>4.7596830891284962E-2</v>
      </c>
      <c r="F39" s="122">
        <f>(CF!F20+CF!F26)/IS!F8</f>
        <v>3.5975327989070383E-2</v>
      </c>
      <c r="G39" s="122">
        <f>(CF!G20+CF!G26)/IS!G8</f>
        <v>4.0302251074951521E-2</v>
      </c>
      <c r="H39" s="122">
        <f>(CF!H20+CF!H26)/IS!H8</f>
        <v>3.6703056209217294E-2</v>
      </c>
      <c r="I39" s="122">
        <f>(CF!I20+CF!I26)/IS!I8</f>
        <v>2.0703764953108373E-2</v>
      </c>
      <c r="J39" s="122">
        <f>(CF!J20+CF!J26)/IS!J8</f>
        <v>3.1194821020797809E-2</v>
      </c>
      <c r="K39" s="122">
        <f>(CF!K20+CF!K26)/IS!K8</f>
        <v>3.7340426203150749E-2</v>
      </c>
      <c r="L39" s="122">
        <f>(CF!L20+CF!L26)/IS!L8</f>
        <v>4.3777786718672634E-2</v>
      </c>
      <c r="M39" s="122">
        <f>(CF!M20+CF!M26)/IS!M8</f>
        <v>4.4826799886199115E-2</v>
      </c>
      <c r="N39" t="s">
        <v>194</v>
      </c>
    </row>
    <row r="40" spans="1:14" x14ac:dyDescent="0.25">
      <c r="B40" t="s">
        <v>221</v>
      </c>
      <c r="E40" s="122">
        <f>-CF!E26/IS!E8</f>
        <v>3.2523139438633462E-2</v>
      </c>
      <c r="F40" s="122">
        <f>-CF!F26/IS!F8</f>
        <v>3.019307656761698E-2</v>
      </c>
      <c r="G40" s="122">
        <f>-CF!G26/IS!G8</f>
        <v>4.4106736362869908E-2</v>
      </c>
      <c r="H40" s="122">
        <f>-CF!H26/IS!H8</f>
        <v>5.0646484682356982E-2</v>
      </c>
      <c r="I40" s="122">
        <f>-CF!I26/IS!I8</f>
        <v>4.6751309563555027E-2</v>
      </c>
      <c r="J40" s="122">
        <f>-CF!J26/IS!J8</f>
        <v>3.9347753046964591E-2</v>
      </c>
      <c r="K40" s="122">
        <f>-CF!K26/IS!K8</f>
        <v>3.4882036887903888E-2</v>
      </c>
      <c r="L40" s="122">
        <f>-CF!L26/IS!L8</f>
        <v>2.8205568933841938E-2</v>
      </c>
      <c r="M40" s="122">
        <f>-CF!M26/IS!M8</f>
        <v>2.1889871694982379E-2</v>
      </c>
      <c r="N40" t="s">
        <v>194</v>
      </c>
    </row>
    <row r="41" spans="1:14" x14ac:dyDescent="0.25">
      <c r="B41" t="s">
        <v>222</v>
      </c>
      <c r="E41" s="153">
        <f>-CF!E26/CF!E7</f>
        <v>2.096894926531744</v>
      </c>
      <c r="F41" s="153">
        <f>-CF!F26/CF!F7</f>
        <v>1.7698739842185844</v>
      </c>
      <c r="G41" s="153">
        <f>-CF!G26/CF!G7</f>
        <v>2.2447972538081955</v>
      </c>
      <c r="H41" s="153">
        <f>-CF!H26/CF!H7</f>
        <v>2.4009368494101317</v>
      </c>
      <c r="I41" s="153">
        <f>-CF!I26/CF!I7</f>
        <v>2.8564464282993862</v>
      </c>
      <c r="J41" s="153">
        <f>-CF!J26/CF!J7</f>
        <v>2.5274542222789012</v>
      </c>
      <c r="K41" s="153">
        <f>-CF!K26/CF!K7</f>
        <v>2.3056952716329833</v>
      </c>
      <c r="L41" s="153">
        <f>-CF!L26/CF!L7</f>
        <v>1.9573568502530994</v>
      </c>
      <c r="M41" s="153">
        <f>-CF!M26/CF!M7</f>
        <v>1.6255332666666664</v>
      </c>
      <c r="N41" t="s">
        <v>194</v>
      </c>
    </row>
    <row r="42" spans="1:14" x14ac:dyDescent="0.25">
      <c r="N42" t="s">
        <v>194</v>
      </c>
    </row>
    <row r="43" spans="1:14" x14ac:dyDescent="0.25">
      <c r="A43" s="1" t="s">
        <v>224</v>
      </c>
      <c r="N43" t="s">
        <v>194</v>
      </c>
    </row>
    <row r="44" spans="1:14" x14ac:dyDescent="0.25">
      <c r="B44" t="s">
        <v>227</v>
      </c>
      <c r="H44" s="154">
        <f>Assumptions!D86/IS!H27</f>
        <v>27.416226339375168</v>
      </c>
      <c r="N44" t="s">
        <v>194</v>
      </c>
    </row>
    <row r="45" spans="1:14" x14ac:dyDescent="0.25">
      <c r="B45" t="s">
        <v>225</v>
      </c>
      <c r="H45" s="154">
        <f>(Assumptions!D86-Valuation!H27+BS!H37-BS!H8)/IS!H17</f>
        <v>11.781115256043778</v>
      </c>
      <c r="N45" t="s">
        <v>194</v>
      </c>
    </row>
    <row r="46" spans="1:14" x14ac:dyDescent="0.25">
      <c r="B46" t="s">
        <v>228</v>
      </c>
      <c r="H46" s="154">
        <f>Assumptions!D86/BS!H45</f>
        <v>3.885565866929559</v>
      </c>
      <c r="N46" t="s">
        <v>194</v>
      </c>
    </row>
    <row r="47" spans="1:14" x14ac:dyDescent="0.25">
      <c r="B47" t="s">
        <v>226</v>
      </c>
      <c r="H47" s="154">
        <f>(Assumptions!D86-Valuation!H27+BS!H37-BS!H8)/IS!H8</f>
        <v>0.88994206706752488</v>
      </c>
      <c r="N47" t="s">
        <v>194</v>
      </c>
    </row>
    <row r="48" spans="1:14" x14ac:dyDescent="0.25">
      <c r="N48" t="s">
        <v>194</v>
      </c>
    </row>
    <row r="49" spans="1:14" x14ac:dyDescent="0.25">
      <c r="A49" s="273" t="s">
        <v>229</v>
      </c>
      <c r="B49" s="88"/>
      <c r="C49" s="88"/>
      <c r="D49" s="88"/>
      <c r="E49" s="88"/>
      <c r="F49" s="88"/>
      <c r="G49" s="88"/>
      <c r="H49" s="104">
        <f>H2</f>
        <v>46112</v>
      </c>
      <c r="I49" s="88"/>
      <c r="N49" t="s">
        <v>194</v>
      </c>
    </row>
    <row r="50" spans="1:14" x14ac:dyDescent="0.25">
      <c r="A50" t="s">
        <v>230</v>
      </c>
      <c r="B50" t="s">
        <v>235</v>
      </c>
      <c r="H50" s="154">
        <f>(BS!H13-BS!H34)/BS!H24</f>
        <v>-7.3449146991859768E-2</v>
      </c>
      <c r="N50" t="s">
        <v>194</v>
      </c>
    </row>
    <row r="51" spans="1:14" x14ac:dyDescent="0.25">
      <c r="A51" t="s">
        <v>231</v>
      </c>
      <c r="B51" t="s">
        <v>236</v>
      </c>
      <c r="H51" s="154">
        <f>BS!H44/BS!H24</f>
        <v>0.29218045155418454</v>
      </c>
      <c r="N51" t="s">
        <v>194</v>
      </c>
    </row>
    <row r="52" spans="1:14" x14ac:dyDescent="0.25">
      <c r="A52" t="s">
        <v>232</v>
      </c>
      <c r="B52" t="s">
        <v>237</v>
      </c>
      <c r="H52" s="154">
        <f>IS!H20/BS!H24</f>
        <v>8.4362320771889626E-2</v>
      </c>
      <c r="N52" t="s">
        <v>194</v>
      </c>
    </row>
    <row r="53" spans="1:14" x14ac:dyDescent="0.25">
      <c r="A53" t="s">
        <v>233</v>
      </c>
      <c r="B53" t="s">
        <v>238</v>
      </c>
      <c r="H53" s="154">
        <f>C6/(BS!H34+BS!H40)</f>
        <v>1.5566343042071198</v>
      </c>
      <c r="N53" t="s">
        <v>194</v>
      </c>
    </row>
    <row r="54" spans="1:14" x14ac:dyDescent="0.25">
      <c r="A54" t="s">
        <v>234</v>
      </c>
      <c r="B54" t="s">
        <v>239</v>
      </c>
      <c r="H54" s="154">
        <f>IS!H8/BS!H24</f>
        <v>1.5494892158336004</v>
      </c>
      <c r="N54" t="s">
        <v>194</v>
      </c>
    </row>
    <row r="55" spans="1:14" x14ac:dyDescent="0.25">
      <c r="A55" s="25"/>
      <c r="B55" s="25" t="s">
        <v>241</v>
      </c>
      <c r="C55" s="22"/>
      <c r="D55" s="22"/>
      <c r="E55" s="22"/>
      <c r="F55" s="22"/>
      <c r="G55" s="22"/>
      <c r="H55" s="174">
        <f>1.2*(H50) + 1.4*(H51) + 3.3*(H52) + 0.6*(H53) + 1*(H54)</f>
        <v>3.0827791126907345</v>
      </c>
      <c r="I55" s="175" t="s">
        <v>242</v>
      </c>
      <c r="N55" t="s">
        <v>194</v>
      </c>
    </row>
    <row r="56" spans="1:14" x14ac:dyDescent="0.25">
      <c r="N56" t="s">
        <v>194</v>
      </c>
    </row>
    <row r="57" spans="1:14" x14ac:dyDescent="0.25">
      <c r="N57" t="s">
        <v>194</v>
      </c>
    </row>
    <row r="58" spans="1:14" x14ac:dyDescent="0.25">
      <c r="N58" t="s">
        <v>194</v>
      </c>
    </row>
    <row r="59" spans="1:14" x14ac:dyDescent="0.25">
      <c r="N59" t="s">
        <v>194</v>
      </c>
    </row>
    <row r="60" spans="1:14" x14ac:dyDescent="0.25">
      <c r="N60" t="s">
        <v>194</v>
      </c>
    </row>
  </sheetData>
  <pageMargins left="0.7" right="0.7" top="0.75" bottom="0.75" header="0.3" footer="0.3"/>
  <ignoredErrors>
    <ignoredError sqref="F32:M32 F33:H33" formulaRange="1"/>
  </ignoredError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1199-DF80-4697-BCFA-217F6D1B1D7C}">
  <sheetPr codeName="Sheet9"/>
  <dimension ref="A1:AC253"/>
  <sheetViews>
    <sheetView showGridLines="0" zoomScale="86" zoomScaleNormal="55" workbookViewId="0">
      <selection activeCell="C17" sqref="C17"/>
    </sheetView>
  </sheetViews>
  <sheetFormatPr defaultRowHeight="15.6" outlineLevelRow="1" outlineLevelCol="1" x14ac:dyDescent="0.3"/>
  <cols>
    <col min="1" max="1" width="4.109375" style="190" customWidth="1"/>
    <col min="2" max="2" width="2.44140625" style="190" customWidth="1"/>
    <col min="3" max="3" width="40.33203125" style="190" customWidth="1"/>
    <col min="4" max="4" width="18.77734375" style="190" customWidth="1"/>
    <col min="5" max="6" width="16.6640625" style="190" customWidth="1"/>
    <col min="7" max="7" width="12.77734375" style="190" customWidth="1"/>
    <col min="8" max="8" width="11.5546875" style="190" customWidth="1"/>
    <col min="9" max="9" width="17.33203125" style="190" customWidth="1"/>
    <col min="10" max="10" width="19.6640625" style="190" customWidth="1"/>
    <col min="11" max="12" width="17.88671875" style="190" customWidth="1"/>
    <col min="13" max="13" width="2.44140625" style="190" customWidth="1"/>
    <col min="14" max="14" width="6.33203125" style="190" customWidth="1"/>
    <col min="15" max="15" width="2.6640625" style="190" customWidth="1" outlineLevel="1"/>
    <col min="16" max="16" width="23.21875" style="190" customWidth="1" outlineLevel="1"/>
    <col min="17" max="17" width="3.5546875" style="190" customWidth="1" outlineLevel="1"/>
    <col min="18" max="19" width="17.44140625" style="190" customWidth="1" outlineLevel="1"/>
    <col min="20" max="20" width="3.5546875" style="190" customWidth="1" outlineLevel="1"/>
    <col min="21" max="22" width="17.44140625" style="190" customWidth="1" outlineLevel="1"/>
    <col min="23" max="23" width="3.5546875" style="190" customWidth="1" outlineLevel="1"/>
    <col min="24" max="25" width="17.44140625" style="190" customWidth="1" outlineLevel="1"/>
    <col min="26" max="26" width="3.5546875" style="190" customWidth="1" outlineLevel="1"/>
    <col min="27" max="28" width="17.44140625" style="190" customWidth="1" outlineLevel="1"/>
    <col min="29" max="29" width="3.5546875" style="190" customWidth="1" outlineLevel="1"/>
    <col min="30" max="16384" width="8.88671875" style="190"/>
  </cols>
  <sheetData>
    <row r="1" spans="1:29" ht="21" x14ac:dyDescent="0.4">
      <c r="A1" s="189"/>
    </row>
    <row r="2" spans="1:29" ht="23.4" x14ac:dyDescent="0.3">
      <c r="A2" s="191"/>
      <c r="B2" s="192" t="s">
        <v>259</v>
      </c>
      <c r="P2" s="192" t="s">
        <v>257</v>
      </c>
      <c r="Q2" s="192"/>
      <c r="R2" s="192"/>
      <c r="S2" s="192"/>
      <c r="T2" s="192"/>
    </row>
    <row r="3" spans="1:29" x14ac:dyDescent="0.3">
      <c r="B3" s="193" t="str">
        <f>Assumptions!A2</f>
        <v>(Unless Otherwise specified, all financials are in ₹ Cr)</v>
      </c>
      <c r="P3" s="193" t="s">
        <v>258</v>
      </c>
      <c r="Q3" s="193"/>
      <c r="R3" s="193"/>
      <c r="S3" s="193"/>
      <c r="T3" s="193"/>
    </row>
    <row r="4" spans="1:29" x14ac:dyDescent="0.3">
      <c r="A4" s="242">
        <v>1</v>
      </c>
      <c r="B4" s="243"/>
      <c r="C4" s="244" t="s">
        <v>259</v>
      </c>
      <c r="D4" s="244"/>
      <c r="E4" s="244"/>
      <c r="F4" s="245"/>
      <c r="G4" s="245"/>
      <c r="H4" s="245"/>
      <c r="I4" s="245"/>
      <c r="J4" s="245"/>
      <c r="K4" s="245"/>
      <c r="L4" s="245"/>
      <c r="M4" s="246"/>
      <c r="O4" s="247"/>
      <c r="P4" s="248"/>
      <c r="Q4" s="248"/>
      <c r="R4" s="399" t="s">
        <v>260</v>
      </c>
      <c r="S4" s="400"/>
      <c r="T4" s="249"/>
      <c r="U4" s="399" t="str">
        <f>C8</f>
        <v>Steel Strips Wheels (SSWL)</v>
      </c>
      <c r="V4" s="400"/>
      <c r="W4" s="250"/>
      <c r="X4" s="399" t="str">
        <f>C9</f>
        <v>Suprajit Engineering</v>
      </c>
      <c r="Y4" s="400"/>
      <c r="Z4" s="251"/>
      <c r="AA4" s="399" t="str">
        <f>C10</f>
        <v>Minda Industries (UNO Minda)</v>
      </c>
      <c r="AB4" s="400"/>
      <c r="AC4" s="251"/>
    </row>
    <row r="5" spans="1:29" outlineLevel="1" x14ac:dyDescent="0.3">
      <c r="B5" s="194"/>
      <c r="C5" s="195"/>
      <c r="D5" s="196"/>
      <c r="E5" s="197"/>
      <c r="F5" s="197"/>
      <c r="G5" s="197"/>
      <c r="H5" s="197"/>
      <c r="I5" s="197"/>
      <c r="J5" s="197"/>
      <c r="K5" s="197"/>
      <c r="L5" s="197"/>
      <c r="M5" s="198"/>
      <c r="O5" s="252"/>
      <c r="P5" s="253" t="s">
        <v>261</v>
      </c>
      <c r="Q5" s="253"/>
      <c r="R5" s="254" t="s">
        <v>262</v>
      </c>
      <c r="S5" s="255" t="s">
        <v>263</v>
      </c>
      <c r="T5" s="256"/>
      <c r="U5" s="254" t="str">
        <f>$R$5</f>
        <v>Closing Price</v>
      </c>
      <c r="V5" s="255" t="str">
        <f>$S$5</f>
        <v>Daily Return</v>
      </c>
      <c r="W5" s="257"/>
      <c r="X5" s="254" t="str">
        <f>$R$5</f>
        <v>Closing Price</v>
      </c>
      <c r="Y5" s="255" t="str">
        <f>$S$5</f>
        <v>Daily Return</v>
      </c>
      <c r="Z5" s="258"/>
      <c r="AA5" s="254" t="str">
        <f>$R$5</f>
        <v>Closing Price</v>
      </c>
      <c r="AB5" s="255" t="str">
        <f>$S$5</f>
        <v>Daily Return</v>
      </c>
      <c r="AC5" s="258"/>
    </row>
    <row r="6" spans="1:29" outlineLevel="1" x14ac:dyDescent="0.3">
      <c r="B6" s="199"/>
      <c r="M6" s="200"/>
      <c r="O6" s="201"/>
      <c r="P6" s="202">
        <v>46171</v>
      </c>
      <c r="Q6" s="203"/>
      <c r="R6" s="204">
        <v>23547.75</v>
      </c>
      <c r="S6" s="203"/>
      <c r="T6" s="203"/>
      <c r="U6" s="204">
        <v>201.78999328613281</v>
      </c>
      <c r="V6" s="203"/>
      <c r="W6" s="203"/>
      <c r="X6" s="204">
        <v>456.79998779296881</v>
      </c>
      <c r="Y6" s="203"/>
      <c r="Z6" s="205"/>
      <c r="AA6" s="204">
        <v>1101.699951171875</v>
      </c>
      <c r="AB6" s="259"/>
      <c r="AC6" s="260"/>
    </row>
    <row r="7" spans="1:29" outlineLevel="1" x14ac:dyDescent="0.3">
      <c r="B7" s="199"/>
      <c r="C7" s="240" t="s">
        <v>264</v>
      </c>
      <c r="E7" s="206" t="s">
        <v>265</v>
      </c>
      <c r="F7" s="206" t="s">
        <v>279</v>
      </c>
      <c r="M7" s="200"/>
      <c r="O7" s="201"/>
      <c r="P7" s="202">
        <v>46169</v>
      </c>
      <c r="Q7" s="203"/>
      <c r="R7" s="204">
        <v>23907.150390625</v>
      </c>
      <c r="S7" s="207">
        <f>IFERROR(R7/R6-1,0)</f>
        <v>1.5262621296089796E-2</v>
      </c>
      <c r="T7" s="203"/>
      <c r="U7" s="204">
        <v>209.75999450683591</v>
      </c>
      <c r="V7" s="207">
        <f>IFERROR(U7/U6-1,0)</f>
        <v>3.9496513632377495E-2</v>
      </c>
      <c r="W7" s="203"/>
      <c r="X7" s="204">
        <v>474.45001220703119</v>
      </c>
      <c r="Y7" s="207">
        <f>IFERROR(X7/X6-1,0)</f>
        <v>3.8638408243701017E-2</v>
      </c>
      <c r="Z7" s="205"/>
      <c r="AA7" s="204">
        <v>1130.800048828125</v>
      </c>
      <c r="AB7" s="207">
        <f>IFERROR(AA7/AA6-1,0)</f>
        <v>2.6413814056446494E-2</v>
      </c>
      <c r="AC7" s="261"/>
    </row>
    <row r="8" spans="1:29" outlineLevel="1" x14ac:dyDescent="0.3">
      <c r="B8" s="199"/>
      <c r="C8" s="208" t="s">
        <v>276</v>
      </c>
      <c r="D8" s="209">
        <f>+_xlfn.COVARIANCE.S(V6:V251,S6:S251)/_xlfn.VAR.S(S6:S251)</f>
        <v>1.3435162960154021</v>
      </c>
      <c r="E8" s="239">
        <v>828</v>
      </c>
      <c r="F8" s="238">
        <v>3840</v>
      </c>
      <c r="H8" t="s">
        <v>300</v>
      </c>
      <c r="I8"/>
      <c r="J8" s="276">
        <v>0.75</v>
      </c>
      <c r="M8" s="200"/>
      <c r="O8" s="210"/>
      <c r="P8" s="202">
        <v>46168</v>
      </c>
      <c r="Q8" s="211"/>
      <c r="R8" s="204">
        <v>23913.69921875</v>
      </c>
      <c r="S8" s="207">
        <f t="shared" ref="S8:S71" si="0">IFERROR(R8/R7-1,0)</f>
        <v>2.7392759145272727E-4</v>
      </c>
      <c r="T8" s="211"/>
      <c r="U8" s="204">
        <v>211.69999694824219</v>
      </c>
      <c r="V8" s="207">
        <f t="shared" ref="V8:V71" si="1">IFERROR(U8/U7-1,0)</f>
        <v>9.2486770223625392E-3</v>
      </c>
      <c r="W8" s="212"/>
      <c r="X8" s="204">
        <v>473.60000610351563</v>
      </c>
      <c r="Y8" s="207">
        <f t="shared" ref="Y8:Y71" si="2">IFERROR(X8/X7-1,0)</f>
        <v>-1.791560926643343E-3</v>
      </c>
      <c r="Z8" s="213"/>
      <c r="AA8" s="204">
        <v>1114.900024414062</v>
      </c>
      <c r="AB8" s="207">
        <f t="shared" ref="AB8:AB71" si="3">IFERROR(AA8/AA7-1,0)</f>
        <v>-1.4060862864783696E-2</v>
      </c>
      <c r="AC8" s="262"/>
    </row>
    <row r="9" spans="1:29" outlineLevel="1" x14ac:dyDescent="0.3">
      <c r="B9" s="199"/>
      <c r="C9" s="208" t="s">
        <v>277</v>
      </c>
      <c r="D9" s="209">
        <f>_xlfn.COVARIANCE.S(Y$6:Y$251,$S$6:$S$251)/_xlfn.VAR.S($S$6:$S$251)</f>
        <v>0.82880515459391668</v>
      </c>
      <c r="E9" s="239">
        <v>817</v>
      </c>
      <c r="F9" s="238">
        <v>6090</v>
      </c>
      <c r="H9" t="s">
        <v>301</v>
      </c>
      <c r="I9"/>
      <c r="J9" s="276">
        <v>0.25</v>
      </c>
      <c r="M9" s="200"/>
      <c r="O9" s="199"/>
      <c r="P9" s="202">
        <v>46167</v>
      </c>
      <c r="R9" s="204">
        <v>24031.69921875</v>
      </c>
      <c r="S9" s="207">
        <f t="shared" si="0"/>
        <v>4.9344101437673871E-3</v>
      </c>
      <c r="U9" s="204">
        <v>210.8800048828125</v>
      </c>
      <c r="V9" s="207">
        <f t="shared" si="1"/>
        <v>-3.8733683384518658E-3</v>
      </c>
      <c r="X9" s="204">
        <v>444.95001220703119</v>
      </c>
      <c r="Y9" s="207">
        <f t="shared" si="2"/>
        <v>-6.0494074170730383E-2</v>
      </c>
      <c r="AA9" s="204">
        <v>1118.5</v>
      </c>
      <c r="AB9" s="207">
        <f t="shared" si="3"/>
        <v>3.2289671783172214E-3</v>
      </c>
      <c r="AC9" s="200"/>
    </row>
    <row r="10" spans="1:29" outlineLevel="1" x14ac:dyDescent="0.3">
      <c r="B10" s="199"/>
      <c r="C10" s="208" t="s">
        <v>278</v>
      </c>
      <c r="D10" s="209">
        <f>_xlfn.COVARIANCE.S(AB$6:AB$251,$S$6:$S$251)/_xlfn.VAR.S($S$6:$S$251)</f>
        <v>1.3911846755836581</v>
      </c>
      <c r="E10" s="238">
        <v>2667</v>
      </c>
      <c r="F10" s="238">
        <v>63620</v>
      </c>
      <c r="H10" s="190" t="s">
        <v>280</v>
      </c>
      <c r="J10" s="275">
        <f>Assumptions!I37</f>
        <v>0.25169999999999998</v>
      </c>
      <c r="M10" s="200"/>
      <c r="O10" s="199"/>
      <c r="P10" s="202">
        <v>46164</v>
      </c>
      <c r="R10" s="204">
        <v>23719.30078125</v>
      </c>
      <c r="S10" s="207">
        <f t="shared" si="0"/>
        <v>-1.2999431902687153E-2</v>
      </c>
      <c r="U10" s="204">
        <v>209.27000427246091</v>
      </c>
      <c r="V10" s="207">
        <f t="shared" si="1"/>
        <v>-7.6346764656339827E-3</v>
      </c>
      <c r="X10" s="204">
        <v>437.64999389648438</v>
      </c>
      <c r="Y10" s="207">
        <f t="shared" si="2"/>
        <v>-1.640637849258042E-2</v>
      </c>
      <c r="AA10" s="204">
        <v>1089.300048828125</v>
      </c>
      <c r="AB10" s="207">
        <f t="shared" si="3"/>
        <v>-2.6106348834935234E-2</v>
      </c>
      <c r="AC10" s="200"/>
    </row>
    <row r="11" spans="1:29" outlineLevel="1" x14ac:dyDescent="0.3">
      <c r="B11" s="199"/>
      <c r="M11" s="200"/>
      <c r="O11" s="199"/>
      <c r="P11" s="202">
        <v>46163</v>
      </c>
      <c r="R11" s="204">
        <v>23654.69921875</v>
      </c>
      <c r="S11" s="207">
        <f t="shared" si="0"/>
        <v>-2.7235862935330868E-3</v>
      </c>
      <c r="U11" s="204">
        <v>210.49000549316409</v>
      </c>
      <c r="V11" s="207">
        <f t="shared" si="1"/>
        <v>5.8297949815817596E-3</v>
      </c>
      <c r="X11" s="204">
        <v>421.20001220703119</v>
      </c>
      <c r="Y11" s="207">
        <f t="shared" si="2"/>
        <v>-3.7587071675691641E-2</v>
      </c>
      <c r="AA11" s="204">
        <v>1079.099975585938</v>
      </c>
      <c r="AB11" s="207">
        <f t="shared" si="3"/>
        <v>-9.3638784402518827E-3</v>
      </c>
      <c r="AC11" s="200"/>
    </row>
    <row r="12" spans="1:29" outlineLevel="1" x14ac:dyDescent="0.3">
      <c r="B12" s="199"/>
      <c r="C12" s="240" t="s">
        <v>266</v>
      </c>
      <c r="D12" s="214"/>
      <c r="E12" s="214"/>
      <c r="F12" s="214"/>
      <c r="G12" s="214"/>
      <c r="H12" s="214"/>
      <c r="I12" s="214"/>
      <c r="J12" s="214"/>
      <c r="K12" s="214"/>
      <c r="M12" s="200"/>
      <c r="O12" s="199"/>
      <c r="P12" s="202">
        <v>46162</v>
      </c>
      <c r="R12" s="204">
        <v>23659</v>
      </c>
      <c r="S12" s="207">
        <f t="shared" si="0"/>
        <v>1.8181508926518042E-4</v>
      </c>
      <c r="U12" s="204">
        <v>207.9700012207031</v>
      </c>
      <c r="V12" s="207">
        <f t="shared" si="1"/>
        <v>-1.1972085166498947E-2</v>
      </c>
      <c r="X12" s="204">
        <v>418.89999389648438</v>
      </c>
      <c r="Y12" s="207">
        <f t="shared" si="2"/>
        <v>-5.4606321079978537E-3</v>
      </c>
      <c r="AA12" s="204">
        <v>1056.400024414062</v>
      </c>
      <c r="AB12" s="207">
        <f t="shared" si="3"/>
        <v>-2.1036003785979251E-2</v>
      </c>
      <c r="AC12" s="200"/>
    </row>
    <row r="13" spans="1:29" outlineLevel="1" x14ac:dyDescent="0.3">
      <c r="B13" s="199"/>
      <c r="C13" s="215" t="s">
        <v>177</v>
      </c>
      <c r="D13" s="216" t="s">
        <v>267</v>
      </c>
      <c r="E13" s="216" t="s">
        <v>268</v>
      </c>
      <c r="F13" s="216" t="s">
        <v>269</v>
      </c>
      <c r="G13" s="216" t="s">
        <v>270</v>
      </c>
      <c r="H13" s="216" t="s">
        <v>271</v>
      </c>
      <c r="I13" s="216" t="s">
        <v>272</v>
      </c>
      <c r="J13" s="216" t="s">
        <v>266</v>
      </c>
      <c r="K13" s="216" t="s">
        <v>273</v>
      </c>
      <c r="L13" s="277" t="s">
        <v>302</v>
      </c>
      <c r="M13" s="200"/>
      <c r="O13" s="199"/>
      <c r="P13" s="202">
        <v>46161</v>
      </c>
      <c r="R13" s="204">
        <v>23618</v>
      </c>
      <c r="S13" s="207">
        <f t="shared" si="0"/>
        <v>-1.7329557462276712E-3</v>
      </c>
      <c r="U13" s="204">
        <v>210.2200012207031</v>
      </c>
      <c r="V13" s="207">
        <f t="shared" si="1"/>
        <v>1.0818868042474339E-2</v>
      </c>
      <c r="X13" s="204">
        <v>416.10000610351563</v>
      </c>
      <c r="Y13" s="207">
        <f t="shared" si="2"/>
        <v>-6.6841437903211176E-3</v>
      </c>
      <c r="AA13" s="204">
        <v>1051.900024414062</v>
      </c>
      <c r="AB13" s="207">
        <f t="shared" si="3"/>
        <v>-4.2597499962155894E-3</v>
      </c>
      <c r="AC13" s="200"/>
    </row>
    <row r="14" spans="1:29" outlineLevel="1" x14ac:dyDescent="0.3">
      <c r="B14" s="199"/>
      <c r="C14" s="217" t="s">
        <v>274</v>
      </c>
      <c r="D14" s="218"/>
      <c r="E14" s="218"/>
      <c r="F14" s="218"/>
      <c r="G14" s="219">
        <f>[1]Assumptions!$AK$5</f>
        <v>0</v>
      </c>
      <c r="H14" s="219">
        <f>[1]Assumptions!$AK$5</f>
        <v>0</v>
      </c>
      <c r="I14" s="218"/>
      <c r="J14" s="218"/>
      <c r="K14" s="218"/>
      <c r="L14" s="218"/>
      <c r="M14" s="200"/>
      <c r="O14" s="199"/>
      <c r="P14" s="202">
        <v>46160</v>
      </c>
      <c r="R14" s="204">
        <v>23649.94921875</v>
      </c>
      <c r="S14" s="207">
        <f t="shared" si="0"/>
        <v>1.3527486980269288E-3</v>
      </c>
      <c r="U14" s="204">
        <v>209.69999694824219</v>
      </c>
      <c r="V14" s="207">
        <f t="shared" si="1"/>
        <v>-2.4736193960677166E-3</v>
      </c>
      <c r="X14" s="204">
        <v>414.5</v>
      </c>
      <c r="Y14" s="207">
        <f t="shared" si="2"/>
        <v>-3.8452441241194624E-3</v>
      </c>
      <c r="AA14" s="204">
        <v>1067.800048828125</v>
      </c>
      <c r="AB14" s="207">
        <f t="shared" si="3"/>
        <v>1.5115528134833633E-2</v>
      </c>
      <c r="AC14" s="200"/>
    </row>
    <row r="15" spans="1:29" outlineLevel="1" x14ac:dyDescent="0.3">
      <c r="B15" s="199"/>
      <c r="C15" s="220"/>
      <c r="D15" s="214"/>
      <c r="E15" s="214"/>
      <c r="F15" s="214"/>
      <c r="G15" s="214"/>
      <c r="H15" s="214"/>
      <c r="I15" s="214"/>
      <c r="J15" s="214"/>
      <c r="K15" s="214"/>
      <c r="M15" s="200"/>
      <c r="O15" s="199"/>
      <c r="P15" s="202">
        <v>46157</v>
      </c>
      <c r="R15" s="204">
        <v>23643.5</v>
      </c>
      <c r="S15" s="207">
        <f t="shared" si="0"/>
        <v>-2.7269482443059712E-4</v>
      </c>
      <c r="U15" s="204">
        <v>206.44000244140619</v>
      </c>
      <c r="V15" s="207">
        <f t="shared" si="1"/>
        <v>-1.5545992152020016E-2</v>
      </c>
      <c r="X15" s="204">
        <v>417.25</v>
      </c>
      <c r="Y15" s="207">
        <f t="shared" si="2"/>
        <v>6.634499396863669E-3</v>
      </c>
      <c r="AA15" s="204">
        <v>1121.800048828125</v>
      </c>
      <c r="AB15" s="207">
        <f t="shared" si="3"/>
        <v>5.0571265715208868E-2</v>
      </c>
      <c r="AC15" s="200"/>
    </row>
    <row r="16" spans="1:29" outlineLevel="1" x14ac:dyDescent="0.3">
      <c r="B16" s="199"/>
      <c r="C16" s="208" t="str">
        <f>C8</f>
        <v>Steel Strips Wheels (SSWL)</v>
      </c>
      <c r="D16" s="221">
        <f t="shared" ref="D16:E18" si="4">IFERROR(E8,0)</f>
        <v>828</v>
      </c>
      <c r="E16" s="221">
        <f t="shared" si="4"/>
        <v>3840</v>
      </c>
      <c r="F16" s="222">
        <f t="shared" ref="F16:F18" si="5">IFERROR(D16/E16,0)</f>
        <v>0.21562500000000001</v>
      </c>
      <c r="G16" s="222">
        <f t="shared" ref="G16:G18" si="6">IFERROR(D16/SUM($D16:$E16),0)</f>
        <v>0.17737789203084833</v>
      </c>
      <c r="H16" s="222">
        <f>IFERROR(E16/SUM($D16:$E16),0)</f>
        <v>0.82262210796915169</v>
      </c>
      <c r="I16" s="223">
        <f>IFERROR(D8,0)</f>
        <v>1.3435162960154021</v>
      </c>
      <c r="J16" s="223">
        <f>IFERROR(I16/(1+tax_rate*F16),0)</f>
        <v>1.2853155990460963</v>
      </c>
      <c r="K16" s="224"/>
      <c r="L16" s="224"/>
      <c r="M16" s="200"/>
      <c r="O16" s="199"/>
      <c r="P16" s="202">
        <v>46156</v>
      </c>
      <c r="R16" s="204">
        <v>23689.599609375</v>
      </c>
      <c r="S16" s="207">
        <f t="shared" si="0"/>
        <v>1.9497794055449713E-3</v>
      </c>
      <c r="T16" s="190" t="s">
        <v>56</v>
      </c>
      <c r="U16" s="204">
        <v>208.1499938964844</v>
      </c>
      <c r="V16" s="207">
        <f t="shared" si="1"/>
        <v>8.2832369446592669E-3</v>
      </c>
      <c r="X16" s="204">
        <v>418.29998779296881</v>
      </c>
      <c r="Y16" s="207">
        <f t="shared" si="2"/>
        <v>2.5164476763781529E-3</v>
      </c>
      <c r="AA16" s="204">
        <v>1122.300048828125</v>
      </c>
      <c r="AB16" s="207">
        <f t="shared" si="3"/>
        <v>4.4571222877221039E-4</v>
      </c>
      <c r="AC16" s="200"/>
    </row>
    <row r="17" spans="1:29" outlineLevel="1" x14ac:dyDescent="0.3">
      <c r="B17" s="199"/>
      <c r="C17" s="208" t="str">
        <f>C9</f>
        <v>Suprajit Engineering</v>
      </c>
      <c r="D17" s="221">
        <f t="shared" si="4"/>
        <v>817</v>
      </c>
      <c r="E17" s="221">
        <f t="shared" si="4"/>
        <v>6090</v>
      </c>
      <c r="F17" s="222">
        <f t="shared" si="5"/>
        <v>0.1341543513957307</v>
      </c>
      <c r="G17" s="222">
        <f t="shared" si="6"/>
        <v>0.11828579701751846</v>
      </c>
      <c r="H17" s="222">
        <f>IFERROR(E17/SUM($D17:$E17),0)</f>
        <v>0.88171420298248149</v>
      </c>
      <c r="I17" s="223">
        <f>IFERROR(D9,0)</f>
        <v>0.82880515459391668</v>
      </c>
      <c r="J17" s="223">
        <f>IFERROR(I17/(1+tax_rate*F17),0)</f>
        <v>0.80609549864921304</v>
      </c>
      <c r="K17" s="224"/>
      <c r="L17" s="224"/>
      <c r="M17" s="200"/>
      <c r="O17" s="199"/>
      <c r="P17" s="202">
        <v>46155</v>
      </c>
      <c r="R17" s="204">
        <v>23412.599609375</v>
      </c>
      <c r="S17" s="207">
        <f t="shared" si="0"/>
        <v>-1.1692894965197209E-2</v>
      </c>
      <c r="U17" s="204">
        <v>209.57000732421881</v>
      </c>
      <c r="V17" s="207">
        <f t="shared" si="1"/>
        <v>6.8220680728945382E-3</v>
      </c>
      <c r="X17" s="204">
        <v>416.70001220703119</v>
      </c>
      <c r="Y17" s="207">
        <f t="shared" si="2"/>
        <v>-3.8249477232341622E-3</v>
      </c>
      <c r="AA17" s="204">
        <v>1126.300048828125</v>
      </c>
      <c r="AB17" s="207">
        <f t="shared" si="3"/>
        <v>3.5641092630946947E-3</v>
      </c>
      <c r="AC17" s="200"/>
    </row>
    <row r="18" spans="1:29" outlineLevel="1" x14ac:dyDescent="0.3">
      <c r="B18" s="199"/>
      <c r="C18" s="208" t="str">
        <f>C10</f>
        <v>Minda Industries (UNO Minda)</v>
      </c>
      <c r="D18" s="221">
        <f t="shared" si="4"/>
        <v>2667</v>
      </c>
      <c r="E18" s="221">
        <f t="shared" si="4"/>
        <v>63620</v>
      </c>
      <c r="F18" s="222">
        <f t="shared" si="5"/>
        <v>4.1920779629047472E-2</v>
      </c>
      <c r="G18" s="222">
        <f t="shared" si="6"/>
        <v>4.0234133389654078E-2</v>
      </c>
      <c r="H18" s="222">
        <f>IFERROR(E18/SUM($D18:$E18),0)</f>
        <v>0.95976586661034591</v>
      </c>
      <c r="I18" s="223">
        <f>IFERROR(D10,0)</f>
        <v>1.3911846755836581</v>
      </c>
      <c r="J18" s="223">
        <f>IFERROR(I18/(1+tax_rate*F18),0)</f>
        <v>1.3790444457388771</v>
      </c>
      <c r="K18" s="224"/>
      <c r="L18" s="224"/>
      <c r="M18" s="200"/>
      <c r="O18" s="199"/>
      <c r="P18" s="202">
        <v>46154</v>
      </c>
      <c r="R18" s="204">
        <v>23379.55078125</v>
      </c>
      <c r="S18" s="207">
        <f t="shared" si="0"/>
        <v>-1.4115830226629766E-3</v>
      </c>
      <c r="T18" s="190" t="s">
        <v>56</v>
      </c>
      <c r="U18" s="204">
        <v>205.6600036621094</v>
      </c>
      <c r="V18" s="207">
        <f t="shared" si="1"/>
        <v>-1.8657267383019982E-2</v>
      </c>
      <c r="X18" s="204">
        <v>417.85000610351563</v>
      </c>
      <c r="Y18" s="207">
        <f t="shared" si="2"/>
        <v>2.7597644895509532E-3</v>
      </c>
      <c r="AA18" s="204">
        <v>1141.900024414062</v>
      </c>
      <c r="AB18" s="207">
        <f t="shared" si="3"/>
        <v>1.3850639181067548E-2</v>
      </c>
      <c r="AC18" s="200"/>
    </row>
    <row r="19" spans="1:29" outlineLevel="1" x14ac:dyDescent="0.3">
      <c r="B19" s="199"/>
      <c r="C19" s="225"/>
      <c r="D19" s="226"/>
      <c r="E19" s="226"/>
      <c r="F19" s="227"/>
      <c r="G19" s="227"/>
      <c r="H19" s="227"/>
      <c r="I19" s="228"/>
      <c r="J19" s="228"/>
      <c r="K19" s="228"/>
      <c r="M19" s="200"/>
      <c r="O19" s="199"/>
      <c r="P19" s="202">
        <v>46153</v>
      </c>
      <c r="R19" s="204">
        <v>23815.849609375</v>
      </c>
      <c r="S19" s="207">
        <f t="shared" si="0"/>
        <v>1.8661557367257275E-2</v>
      </c>
      <c r="U19" s="204">
        <v>212.52000427246091</v>
      </c>
      <c r="V19" s="207">
        <f t="shared" si="1"/>
        <v>3.3356026880278611E-2</v>
      </c>
      <c r="X19" s="204">
        <v>433.39999389648438</v>
      </c>
      <c r="Y19" s="207">
        <f t="shared" si="2"/>
        <v>3.7214281598254795E-2</v>
      </c>
      <c r="AA19" s="204">
        <v>1173.099975585938</v>
      </c>
      <c r="AB19" s="207">
        <f t="shared" si="3"/>
        <v>2.7322839569852375E-2</v>
      </c>
      <c r="AC19" s="200"/>
    </row>
    <row r="20" spans="1:29" outlineLevel="1" x14ac:dyDescent="0.3">
      <c r="B20" s="199"/>
      <c r="C20" s="215" t="s">
        <v>275</v>
      </c>
      <c r="D20" s="229"/>
      <c r="E20" s="229"/>
      <c r="F20" s="230">
        <f>AVERAGE(F16:F18)</f>
        <v>0.13056671034159273</v>
      </c>
      <c r="G20" s="229"/>
      <c r="H20" s="229"/>
      <c r="I20" s="215"/>
      <c r="J20" s="231">
        <f>AVERAGE(J16:J18)</f>
        <v>1.1568185144780623</v>
      </c>
      <c r="K20" s="231">
        <f>IFERROR(J20*(1+J10*$F$20),0)</f>
        <v>1.1948357828319003</v>
      </c>
      <c r="L20" s="231">
        <f>IFERROR(K20*$J$8+1*$J$9,0)</f>
        <v>1.1461268371239253</v>
      </c>
      <c r="M20" s="200"/>
      <c r="O20" s="199"/>
      <c r="P20" s="202">
        <v>46150</v>
      </c>
      <c r="R20" s="204">
        <v>24176.150390625</v>
      </c>
      <c r="S20" s="207">
        <f t="shared" si="0"/>
        <v>1.5128613388126544E-2</v>
      </c>
      <c r="U20" s="204">
        <v>211.6499938964844</v>
      </c>
      <c r="V20" s="207">
        <f t="shared" si="1"/>
        <v>-4.0937810958309173E-3</v>
      </c>
      <c r="X20" s="204">
        <v>446.10000610351563</v>
      </c>
      <c r="Y20" s="207">
        <f t="shared" si="2"/>
        <v>2.9303212703931436E-2</v>
      </c>
      <c r="AA20" s="204">
        <v>1178.900024414062</v>
      </c>
      <c r="AB20" s="207">
        <f t="shared" si="3"/>
        <v>4.9442067588716387E-3</v>
      </c>
      <c r="AC20" s="200"/>
    </row>
    <row r="21" spans="1:29" outlineLevel="1" x14ac:dyDescent="0.3">
      <c r="B21" s="232"/>
      <c r="C21" s="233"/>
      <c r="D21" s="233"/>
      <c r="E21" s="233"/>
      <c r="F21" s="233"/>
      <c r="G21" s="233"/>
      <c r="H21" s="233"/>
      <c r="I21" s="233"/>
      <c r="J21" s="233"/>
      <c r="K21" s="233"/>
      <c r="L21" s="233"/>
      <c r="M21" s="234"/>
      <c r="O21" s="199"/>
      <c r="P21" s="202">
        <v>46149</v>
      </c>
      <c r="R21" s="204">
        <v>24326.650390625</v>
      </c>
      <c r="S21" s="207">
        <f t="shared" si="0"/>
        <v>6.2251432741897705E-3</v>
      </c>
      <c r="U21" s="204">
        <v>213.86000061035159</v>
      </c>
      <c r="V21" s="207">
        <f t="shared" si="1"/>
        <v>1.0441799090946668E-2</v>
      </c>
      <c r="X21" s="204">
        <v>433.64999389648438</v>
      </c>
      <c r="Y21" s="207">
        <f t="shared" si="2"/>
        <v>-2.7908567667991213E-2</v>
      </c>
      <c r="AA21" s="204">
        <v>1145.699951171875</v>
      </c>
      <c r="AB21" s="207">
        <f t="shared" si="3"/>
        <v>-2.8161907332802216E-2</v>
      </c>
      <c r="AC21" s="200"/>
    </row>
    <row r="22" spans="1:29" outlineLevel="1" x14ac:dyDescent="0.3">
      <c r="O22" s="199"/>
      <c r="P22" s="202">
        <v>46148</v>
      </c>
      <c r="R22" s="204">
        <v>24330.94921875</v>
      </c>
      <c r="S22" s="207">
        <f>IFERROR(R22/R21-1,0)</f>
        <v>1.7671270215879886E-4</v>
      </c>
      <c r="U22" s="204">
        <v>214.52000427246091</v>
      </c>
      <c r="V22" s="207">
        <f>IFERROR(U22/U21-1,0)</f>
        <v>3.0861482288677689E-3</v>
      </c>
      <c r="X22" s="204">
        <v>419.10000610351563</v>
      </c>
      <c r="Y22" s="207">
        <f>IFERROR(X22/X21-1,0)</f>
        <v>-3.355237633519248E-2</v>
      </c>
      <c r="AA22" s="204">
        <v>1127.900024414062</v>
      </c>
      <c r="AB22" s="207">
        <f>IFERROR(AA22/AA21-1,0)</f>
        <v>-1.5536290055355617E-2</v>
      </c>
      <c r="AC22" s="200"/>
    </row>
    <row r="23" spans="1:29" outlineLevel="1" x14ac:dyDescent="0.3">
      <c r="K23" s="235"/>
      <c r="L23" s="235"/>
      <c r="O23" s="199"/>
      <c r="P23" s="202">
        <v>46147</v>
      </c>
      <c r="R23" s="204">
        <v>24032.80078125</v>
      </c>
      <c r="S23" s="207">
        <f t="shared" si="0"/>
        <v>-1.2253876115537632E-2</v>
      </c>
      <c r="U23" s="204">
        <v>213.3500061035156</v>
      </c>
      <c r="V23" s="207">
        <f t="shared" si="1"/>
        <v>-5.4540282754204084E-3</v>
      </c>
      <c r="X23" s="204">
        <v>414.04998779296881</v>
      </c>
      <c r="Y23" s="207">
        <f t="shared" si="2"/>
        <v>-1.2049673674544126E-2</v>
      </c>
      <c r="AA23" s="204">
        <v>1087.099975585938</v>
      </c>
      <c r="AB23" s="207">
        <f t="shared" si="3"/>
        <v>-3.6173462137585766E-2</v>
      </c>
      <c r="AC23" s="200"/>
    </row>
    <row r="24" spans="1:29" outlineLevel="1" x14ac:dyDescent="0.3">
      <c r="A24" s="305"/>
      <c r="C24" s="306"/>
      <c r="D24" s="306"/>
      <c r="E24" s="306"/>
      <c r="F24" s="307"/>
      <c r="G24" s="307"/>
      <c r="H24" s="307"/>
      <c r="I24" s="307"/>
      <c r="J24" s="307"/>
      <c r="K24" s="307"/>
      <c r="L24" s="307"/>
      <c r="M24" s="306"/>
      <c r="O24" s="199"/>
      <c r="P24" s="202">
        <v>46146</v>
      </c>
      <c r="R24" s="204">
        <v>24119.30078125</v>
      </c>
      <c r="S24" s="207">
        <f t="shared" si="0"/>
        <v>3.5992475778139355E-3</v>
      </c>
      <c r="U24" s="204">
        <v>215.25999450683591</v>
      </c>
      <c r="V24" s="207">
        <f t="shared" si="1"/>
        <v>8.9523709804517626E-3</v>
      </c>
      <c r="X24" s="204">
        <v>418.85000610351563</v>
      </c>
      <c r="Y24" s="207">
        <f t="shared" si="2"/>
        <v>1.1592847366407533E-2</v>
      </c>
      <c r="AA24" s="204">
        <v>1109.800048828125</v>
      </c>
      <c r="AB24" s="207">
        <f t="shared" si="3"/>
        <v>2.0881311518705425E-2</v>
      </c>
      <c r="AC24" s="200"/>
    </row>
    <row r="25" spans="1:29" outlineLevel="1" x14ac:dyDescent="0.3">
      <c r="C25" s="193"/>
      <c r="E25" s="308"/>
      <c r="F25" s="308"/>
      <c r="G25" s="308"/>
      <c r="H25" s="308"/>
      <c r="I25" s="308"/>
      <c r="J25" s="308"/>
      <c r="K25" s="308"/>
      <c r="L25" s="308"/>
      <c r="O25" s="199"/>
      <c r="P25" s="202">
        <v>46142</v>
      </c>
      <c r="R25" s="204">
        <v>23997.55078125</v>
      </c>
      <c r="S25" s="207">
        <f t="shared" si="0"/>
        <v>-5.0478246075295052E-3</v>
      </c>
      <c r="U25" s="204">
        <v>212.71000671386719</v>
      </c>
      <c r="V25" s="207">
        <f t="shared" si="1"/>
        <v>-1.1846083146154429E-2</v>
      </c>
      <c r="X25" s="204">
        <v>415.14999389648438</v>
      </c>
      <c r="Y25" s="207">
        <f t="shared" si="2"/>
        <v>-8.8337403679464854E-3</v>
      </c>
      <c r="AA25" s="204">
        <v>1112.5</v>
      </c>
      <c r="AB25" s="207">
        <f t="shared" si="3"/>
        <v>2.4328266832625012E-3</v>
      </c>
      <c r="AC25" s="200"/>
    </row>
    <row r="26" spans="1:29" outlineLevel="1" x14ac:dyDescent="0.3">
      <c r="O26" s="199"/>
      <c r="P26" s="202">
        <v>46141</v>
      </c>
      <c r="R26" s="204">
        <v>24177.650390625</v>
      </c>
      <c r="S26" s="207">
        <f t="shared" si="0"/>
        <v>7.5049162731939401E-3</v>
      </c>
      <c r="U26" s="204">
        <v>215.5299987792969</v>
      </c>
      <c r="V26" s="207">
        <f t="shared" si="1"/>
        <v>1.3257448998265087E-2</v>
      </c>
      <c r="X26" s="204">
        <v>419.29998779296881</v>
      </c>
      <c r="Y26" s="207">
        <f t="shared" si="2"/>
        <v>9.9963722931408761E-3</v>
      </c>
      <c r="AA26" s="204">
        <v>1131.800048828125</v>
      </c>
      <c r="AB26" s="207">
        <f t="shared" si="3"/>
        <v>1.7348358497190963E-2</v>
      </c>
      <c r="AC26" s="200"/>
    </row>
    <row r="27" spans="1:29" outlineLevel="1" x14ac:dyDescent="0.3">
      <c r="E27" s="309"/>
      <c r="O27" s="199"/>
      <c r="P27" s="202">
        <v>46140</v>
      </c>
      <c r="R27" s="204">
        <v>23995.69921875</v>
      </c>
      <c r="S27" s="207">
        <f t="shared" si="0"/>
        <v>-7.5255936344232888E-3</v>
      </c>
      <c r="U27" s="204">
        <v>208.30999755859381</v>
      </c>
      <c r="V27" s="207">
        <f t="shared" si="1"/>
        <v>-3.349882272349658E-2</v>
      </c>
      <c r="X27" s="204">
        <v>416.20001220703119</v>
      </c>
      <c r="Y27" s="207">
        <f t="shared" si="2"/>
        <v>-7.3932164946025614E-3</v>
      </c>
      <c r="AA27" s="204">
        <v>1129.699951171875</v>
      </c>
      <c r="AB27" s="207">
        <f t="shared" si="3"/>
        <v>-1.8555376971616244E-3</v>
      </c>
      <c r="AC27" s="200"/>
    </row>
    <row r="28" spans="1:29" outlineLevel="1" x14ac:dyDescent="0.3">
      <c r="E28" s="309"/>
      <c r="O28" s="199"/>
      <c r="P28" s="202">
        <v>46139</v>
      </c>
      <c r="R28" s="204">
        <v>24092.69921875</v>
      </c>
      <c r="S28" s="207">
        <f t="shared" si="0"/>
        <v>4.0423910599864943E-3</v>
      </c>
      <c r="U28" s="204">
        <v>210.30999755859381</v>
      </c>
      <c r="V28" s="207">
        <f t="shared" si="1"/>
        <v>9.6010754329611814E-3</v>
      </c>
      <c r="X28" s="204">
        <v>424.25</v>
      </c>
      <c r="Y28" s="207">
        <f t="shared" si="2"/>
        <v>1.9341632765172756E-2</v>
      </c>
      <c r="AA28" s="204">
        <v>1130.900024414062</v>
      </c>
      <c r="AB28" s="207">
        <f t="shared" si="3"/>
        <v>1.0622937895519158E-3</v>
      </c>
      <c r="AC28" s="200"/>
    </row>
    <row r="29" spans="1:29" x14ac:dyDescent="0.3">
      <c r="E29" s="309"/>
      <c r="O29" s="199"/>
      <c r="P29" s="202">
        <v>46136</v>
      </c>
      <c r="R29" s="204">
        <v>23897.94921875</v>
      </c>
      <c r="S29" s="207">
        <f t="shared" si="0"/>
        <v>-8.0833616122363283E-3</v>
      </c>
      <c r="U29" s="204">
        <v>207.88999938964841</v>
      </c>
      <c r="V29" s="207">
        <f t="shared" si="1"/>
        <v>-1.1506814688023392E-2</v>
      </c>
      <c r="X29" s="204">
        <v>417.25</v>
      </c>
      <c r="Y29" s="207">
        <f t="shared" si="2"/>
        <v>-1.6499705362404193E-2</v>
      </c>
      <c r="AA29" s="204">
        <v>1108.099975585938</v>
      </c>
      <c r="AB29" s="207">
        <f t="shared" si="3"/>
        <v>-2.0160976510666506E-2</v>
      </c>
      <c r="AC29" s="200"/>
    </row>
    <row r="30" spans="1:29" x14ac:dyDescent="0.3">
      <c r="E30" s="310"/>
      <c r="O30" s="199"/>
      <c r="P30" s="202">
        <v>46135</v>
      </c>
      <c r="R30" s="204">
        <v>24173.05078125</v>
      </c>
      <c r="S30" s="207">
        <f t="shared" si="0"/>
        <v>1.1511513393130723E-2</v>
      </c>
      <c r="U30" s="204">
        <v>211.9100036621094</v>
      </c>
      <c r="V30" s="207">
        <f t="shared" si="1"/>
        <v>1.9337170062357245E-2</v>
      </c>
      <c r="X30" s="204">
        <v>425.25</v>
      </c>
      <c r="Y30" s="207">
        <f t="shared" si="2"/>
        <v>1.9173157579388755E-2</v>
      </c>
      <c r="AA30" s="204">
        <v>1130.099975585938</v>
      </c>
      <c r="AB30" s="207">
        <f t="shared" si="3"/>
        <v>1.9853804245746787E-2</v>
      </c>
      <c r="AC30" s="200"/>
    </row>
    <row r="31" spans="1:29" x14ac:dyDescent="0.3">
      <c r="O31" s="199"/>
      <c r="P31" s="202">
        <v>46134</v>
      </c>
      <c r="R31" s="204">
        <v>24378.099609375</v>
      </c>
      <c r="S31" s="207">
        <f t="shared" si="0"/>
        <v>8.4825382605016042E-3</v>
      </c>
      <c r="U31" s="204">
        <v>216.2799987792969</v>
      </c>
      <c r="V31" s="207">
        <f t="shared" si="1"/>
        <v>2.0621938755451374E-2</v>
      </c>
      <c r="X31" s="204">
        <v>428.70001220703119</v>
      </c>
      <c r="Y31" s="207">
        <f t="shared" si="2"/>
        <v>8.1129034850822013E-3</v>
      </c>
      <c r="AA31" s="204">
        <v>1151.300048828125</v>
      </c>
      <c r="AB31" s="207">
        <f t="shared" si="3"/>
        <v>1.8759467038476085E-2</v>
      </c>
      <c r="AC31" s="200"/>
    </row>
    <row r="32" spans="1:29" outlineLevel="1" x14ac:dyDescent="0.3">
      <c r="E32" s="222"/>
      <c r="O32" s="199"/>
      <c r="P32" s="202">
        <v>46133</v>
      </c>
      <c r="R32" s="204">
        <v>24576.599609375</v>
      </c>
      <c r="S32" s="207">
        <f t="shared" si="0"/>
        <v>8.1425543081981022E-3</v>
      </c>
      <c r="U32" s="204">
        <v>217.3999938964844</v>
      </c>
      <c r="V32" s="207">
        <f t="shared" si="1"/>
        <v>5.1784498035363224E-3</v>
      </c>
      <c r="X32" s="204">
        <v>422.10000610351563</v>
      </c>
      <c r="Y32" s="207">
        <f t="shared" si="2"/>
        <v>-1.539539518447286E-2</v>
      </c>
      <c r="AA32" s="204">
        <v>1149.599975585938</v>
      </c>
      <c r="AB32" s="207">
        <f t="shared" si="3"/>
        <v>-1.4766552332882155E-3</v>
      </c>
      <c r="AC32" s="200"/>
    </row>
    <row r="33" spans="3:29" outlineLevel="1" x14ac:dyDescent="0.3">
      <c r="E33" s="222"/>
      <c r="O33" s="199"/>
      <c r="P33" s="202">
        <v>46132</v>
      </c>
      <c r="R33" s="204">
        <v>24364.849609375</v>
      </c>
      <c r="S33" s="207">
        <f t="shared" si="0"/>
        <v>-8.6159193446446736E-3</v>
      </c>
      <c r="U33" s="204">
        <v>217.75999450683591</v>
      </c>
      <c r="V33" s="207">
        <f t="shared" si="1"/>
        <v>1.6559366166446488E-3</v>
      </c>
      <c r="X33" s="204">
        <v>414.39999389648438</v>
      </c>
      <c r="Y33" s="207">
        <f t="shared" si="2"/>
        <v>-1.8242151375716609E-2</v>
      </c>
      <c r="AA33" s="204">
        <v>1129.400024414062</v>
      </c>
      <c r="AB33" s="207">
        <f t="shared" si="3"/>
        <v>-1.7571287057117635E-2</v>
      </c>
      <c r="AC33" s="200"/>
    </row>
    <row r="34" spans="3:29" outlineLevel="1" x14ac:dyDescent="0.3">
      <c r="O34" s="199"/>
      <c r="P34" s="202">
        <v>46129</v>
      </c>
      <c r="R34" s="204">
        <v>24353.55078125</v>
      </c>
      <c r="S34" s="207">
        <f t="shared" si="0"/>
        <v>-4.6373477801608942E-4</v>
      </c>
      <c r="U34" s="204">
        <v>220.94000244140619</v>
      </c>
      <c r="V34" s="207">
        <f t="shared" si="1"/>
        <v>1.4603269722577306E-2</v>
      </c>
      <c r="X34" s="204">
        <v>425.20001220703119</v>
      </c>
      <c r="Y34" s="207">
        <f t="shared" si="2"/>
        <v>2.6061820631311683E-2</v>
      </c>
      <c r="AA34" s="204">
        <v>1097.800048828125</v>
      </c>
      <c r="AB34" s="207">
        <f t="shared" si="3"/>
        <v>-2.7979435897684923E-2</v>
      </c>
      <c r="AC34" s="200"/>
    </row>
    <row r="35" spans="3:29" outlineLevel="1" x14ac:dyDescent="0.3">
      <c r="E35" s="309"/>
      <c r="O35" s="199"/>
      <c r="P35" s="202">
        <v>46128</v>
      </c>
      <c r="R35" s="204">
        <v>24196.75</v>
      </c>
      <c r="S35" s="207">
        <f t="shared" si="0"/>
        <v>-6.4385182538031493E-3</v>
      </c>
      <c r="U35" s="204">
        <v>213.3999938964844</v>
      </c>
      <c r="V35" s="207">
        <f t="shared" si="1"/>
        <v>-3.412695058207682E-2</v>
      </c>
      <c r="X35" s="204">
        <v>411</v>
      </c>
      <c r="Y35" s="207">
        <f t="shared" si="2"/>
        <v>-3.339607666830724E-2</v>
      </c>
      <c r="AA35" s="204">
        <v>1109.400024414062</v>
      </c>
      <c r="AB35" s="207">
        <f t="shared" si="3"/>
        <v>1.0566565011834061E-2</v>
      </c>
      <c r="AC35" s="200"/>
    </row>
    <row r="36" spans="3:29" outlineLevel="1" x14ac:dyDescent="0.3">
      <c r="E36" s="311"/>
      <c r="O36" s="199"/>
      <c r="P36" s="202">
        <v>46127</v>
      </c>
      <c r="R36" s="204">
        <v>24231.30078125</v>
      </c>
      <c r="S36" s="207">
        <f t="shared" si="0"/>
        <v>1.4279099982434929E-3</v>
      </c>
      <c r="U36" s="204">
        <v>214.77000427246091</v>
      </c>
      <c r="V36" s="207">
        <f t="shared" si="1"/>
        <v>6.4199175968162603E-3</v>
      </c>
      <c r="X36" s="204">
        <v>415.75</v>
      </c>
      <c r="Y36" s="207">
        <f t="shared" si="2"/>
        <v>1.1557177615571845E-2</v>
      </c>
      <c r="AA36" s="204">
        <v>1100.099975585938</v>
      </c>
      <c r="AB36" s="207">
        <f t="shared" si="3"/>
        <v>-8.3829535095205632E-3</v>
      </c>
      <c r="AC36" s="200"/>
    </row>
    <row r="37" spans="3:29" outlineLevel="1" x14ac:dyDescent="0.3">
      <c r="O37" s="199"/>
      <c r="P37" s="202">
        <v>46125</v>
      </c>
      <c r="R37" s="204">
        <v>23842.650390625</v>
      </c>
      <c r="S37" s="207">
        <f t="shared" si="0"/>
        <v>-1.6039188078822986E-2</v>
      </c>
      <c r="U37" s="204">
        <v>212.6600036621094</v>
      </c>
      <c r="V37" s="207">
        <f t="shared" si="1"/>
        <v>-9.8244660258735017E-3</v>
      </c>
      <c r="X37" s="204">
        <v>411.60000610351563</v>
      </c>
      <c r="Y37" s="207">
        <f t="shared" si="2"/>
        <v>-9.98194563195276E-3</v>
      </c>
      <c r="AA37" s="204">
        <v>1078.199951171875</v>
      </c>
      <c r="AB37" s="207">
        <f t="shared" si="3"/>
        <v>-1.9907303790638209E-2</v>
      </c>
      <c r="AC37" s="200"/>
    </row>
    <row r="38" spans="3:29" outlineLevel="1" x14ac:dyDescent="0.3">
      <c r="C38" s="312"/>
      <c r="D38" s="312"/>
      <c r="E38" s="313"/>
      <c r="O38" s="199"/>
      <c r="P38" s="202">
        <v>46122</v>
      </c>
      <c r="R38" s="204">
        <v>24050.599609375</v>
      </c>
      <c r="S38" s="207">
        <f t="shared" si="0"/>
        <v>8.7217324979846911E-3</v>
      </c>
      <c r="U38" s="204">
        <v>210.21000671386719</v>
      </c>
      <c r="V38" s="207">
        <f t="shared" si="1"/>
        <v>-1.1520722778388337E-2</v>
      </c>
      <c r="X38" s="204">
        <v>436.64999389648438</v>
      </c>
      <c r="Y38" s="207">
        <f t="shared" si="2"/>
        <v>6.0860027749049195E-2</v>
      </c>
      <c r="AA38" s="204">
        <v>1078</v>
      </c>
      <c r="AB38" s="207">
        <f t="shared" si="3"/>
        <v>-1.8544906411621653E-4</v>
      </c>
      <c r="AC38" s="200"/>
    </row>
    <row r="39" spans="3:29" outlineLevel="1" x14ac:dyDescent="0.3">
      <c r="O39" s="199"/>
      <c r="P39" s="202">
        <v>46121</v>
      </c>
      <c r="R39" s="204">
        <v>23775.099609375</v>
      </c>
      <c r="S39" s="207">
        <f t="shared" si="0"/>
        <v>-1.1455015861334683E-2</v>
      </c>
      <c r="U39" s="204">
        <v>203.24000549316409</v>
      </c>
      <c r="V39" s="207">
        <f t="shared" si="1"/>
        <v>-3.3157323619662393E-2</v>
      </c>
      <c r="X39" s="204">
        <v>431.75</v>
      </c>
      <c r="Y39" s="207">
        <f t="shared" si="2"/>
        <v>-1.1221788537677191E-2</v>
      </c>
      <c r="AA39" s="204">
        <v>1054.599975585938</v>
      </c>
      <c r="AB39" s="207">
        <f t="shared" si="3"/>
        <v>-2.1706887211560333E-2</v>
      </c>
      <c r="AC39" s="200"/>
    </row>
    <row r="40" spans="3:29" outlineLevel="1" x14ac:dyDescent="0.3">
      <c r="O40" s="199"/>
      <c r="P40" s="202">
        <v>46120</v>
      </c>
      <c r="R40" s="204">
        <v>23997.349609375</v>
      </c>
      <c r="S40" s="207">
        <f t="shared" si="0"/>
        <v>9.348015514196284E-3</v>
      </c>
      <c r="U40" s="204">
        <v>201.5</v>
      </c>
      <c r="V40" s="207">
        <f t="shared" si="1"/>
        <v>-8.5613336259362516E-3</v>
      </c>
      <c r="X40" s="204">
        <v>427.39999389648438</v>
      </c>
      <c r="Y40" s="207">
        <f t="shared" si="2"/>
        <v>-1.0075289180117242E-2</v>
      </c>
      <c r="AA40" s="204">
        <v>1090.199951171875</v>
      </c>
      <c r="AB40" s="207">
        <f t="shared" si="3"/>
        <v>3.3756852275819149E-2</v>
      </c>
      <c r="AC40" s="200"/>
    </row>
    <row r="41" spans="3:29" outlineLevel="1" x14ac:dyDescent="0.3">
      <c r="O41" s="199"/>
      <c r="P41" s="202">
        <v>46119</v>
      </c>
      <c r="R41" s="204">
        <v>23123.650390625</v>
      </c>
      <c r="S41" s="207">
        <f t="shared" si="0"/>
        <v>-3.6408154774253632E-2</v>
      </c>
      <c r="U41" s="204">
        <v>191.17999267578119</v>
      </c>
      <c r="V41" s="207">
        <f t="shared" si="1"/>
        <v>-5.1215917241780651E-2</v>
      </c>
      <c r="X41" s="204">
        <v>418.20001220703119</v>
      </c>
      <c r="Y41" s="207">
        <f t="shared" si="2"/>
        <v>-2.1525460507333061E-2</v>
      </c>
      <c r="AA41" s="204">
        <v>1021.400024414062</v>
      </c>
      <c r="AB41" s="207">
        <f t="shared" si="3"/>
        <v>-6.310762230713618E-2</v>
      </c>
      <c r="AC41" s="200"/>
    </row>
    <row r="42" spans="3:29" outlineLevel="1" x14ac:dyDescent="0.3">
      <c r="O42" s="199"/>
      <c r="P42" s="202">
        <v>46118</v>
      </c>
      <c r="R42" s="204">
        <v>22968.25</v>
      </c>
      <c r="S42" s="207">
        <f t="shared" si="0"/>
        <v>-6.7204091049570813E-3</v>
      </c>
      <c r="U42" s="204">
        <v>190.25</v>
      </c>
      <c r="V42" s="207">
        <f t="shared" si="1"/>
        <v>-4.8644874537596694E-3</v>
      </c>
      <c r="X42" s="204">
        <v>413.39999389648438</v>
      </c>
      <c r="Y42" s="207">
        <f t="shared" si="2"/>
        <v>-1.1477805285597498E-2</v>
      </c>
      <c r="AA42" s="204">
        <v>1048.400024414062</v>
      </c>
      <c r="AB42" s="207">
        <f t="shared" si="3"/>
        <v>2.6434305222861942E-2</v>
      </c>
      <c r="AC42" s="200"/>
    </row>
    <row r="43" spans="3:29" outlineLevel="1" x14ac:dyDescent="0.3">
      <c r="O43" s="199"/>
      <c r="P43" s="202">
        <v>46114</v>
      </c>
      <c r="R43" s="204">
        <v>22713.099609375</v>
      </c>
      <c r="S43" s="207">
        <f t="shared" si="0"/>
        <v>-1.1108830260250557E-2</v>
      </c>
      <c r="U43" s="204">
        <v>189.25</v>
      </c>
      <c r="V43" s="207">
        <f t="shared" si="1"/>
        <v>-5.2562417871222511E-3</v>
      </c>
      <c r="X43" s="204">
        <v>411.54998779296881</v>
      </c>
      <c r="Y43" s="207">
        <f t="shared" si="2"/>
        <v>-4.4750994940236932E-3</v>
      </c>
      <c r="AA43" s="204">
        <v>1025.400024414062</v>
      </c>
      <c r="AB43" s="207">
        <f t="shared" si="3"/>
        <v>-2.1938191019076347E-2</v>
      </c>
      <c r="AC43" s="200"/>
    </row>
    <row r="44" spans="3:29" outlineLevel="1" x14ac:dyDescent="0.3">
      <c r="O44" s="199"/>
      <c r="P44" s="202">
        <v>46113</v>
      </c>
      <c r="R44" s="204">
        <v>22679.400390625</v>
      </c>
      <c r="S44" s="207">
        <f t="shared" si="0"/>
        <v>-1.4836908801337811E-3</v>
      </c>
      <c r="U44" s="204">
        <v>187.8999938964844</v>
      </c>
      <c r="V44" s="207">
        <f t="shared" si="1"/>
        <v>-7.1334536513373292E-3</v>
      </c>
      <c r="X44" s="204">
        <v>421.95001220703119</v>
      </c>
      <c r="Y44" s="207">
        <f t="shared" si="2"/>
        <v>2.5270379595526027E-2</v>
      </c>
      <c r="AA44" s="204">
        <v>1043.400024414062</v>
      </c>
      <c r="AB44" s="207">
        <f t="shared" si="3"/>
        <v>1.7554124801475002E-2</v>
      </c>
      <c r="AC44" s="200"/>
    </row>
    <row r="45" spans="3:29" outlineLevel="1" x14ac:dyDescent="0.3">
      <c r="O45" s="199"/>
      <c r="P45" s="202">
        <v>46111</v>
      </c>
      <c r="R45" s="204">
        <v>22331.400390625</v>
      </c>
      <c r="S45" s="207">
        <f t="shared" si="0"/>
        <v>-1.5344321014053475E-2</v>
      </c>
      <c r="U45" s="204">
        <v>170.42999267578119</v>
      </c>
      <c r="V45" s="207">
        <f t="shared" si="1"/>
        <v>-9.297499621169536E-2</v>
      </c>
      <c r="X45" s="204">
        <v>400.10000610351563</v>
      </c>
      <c r="Y45" s="207">
        <f t="shared" si="2"/>
        <v>-5.1783399624111826E-2</v>
      </c>
      <c r="AA45" s="204">
        <v>1031.599975585938</v>
      </c>
      <c r="AB45" s="207">
        <f t="shared" si="3"/>
        <v>-1.1309228054456444E-2</v>
      </c>
      <c r="AC45" s="200"/>
    </row>
    <row r="46" spans="3:29" outlineLevel="1" x14ac:dyDescent="0.3">
      <c r="O46" s="199"/>
      <c r="P46" s="202">
        <v>46108</v>
      </c>
      <c r="R46" s="204">
        <v>22819.599609375</v>
      </c>
      <c r="S46" s="207">
        <f t="shared" si="0"/>
        <v>2.1861558621955046E-2</v>
      </c>
      <c r="U46" s="204">
        <v>178.9700012207031</v>
      </c>
      <c r="V46" s="207">
        <f t="shared" si="1"/>
        <v>5.0108601255226537E-2</v>
      </c>
      <c r="X46" s="204">
        <v>414.45001220703119</v>
      </c>
      <c r="Y46" s="207">
        <f t="shared" si="2"/>
        <v>3.5866048199466594E-2</v>
      </c>
      <c r="AA46" s="204">
        <v>1048.699951171875</v>
      </c>
      <c r="AB46" s="207">
        <f t="shared" si="3"/>
        <v>1.6576169048690081E-2</v>
      </c>
      <c r="AC46" s="200"/>
    </row>
    <row r="47" spans="3:29" x14ac:dyDescent="0.3">
      <c r="O47" s="199"/>
      <c r="P47" s="202">
        <v>46106</v>
      </c>
      <c r="R47" s="204">
        <v>23306.44921875</v>
      </c>
      <c r="S47" s="207">
        <f t="shared" si="0"/>
        <v>2.1334713040932929E-2</v>
      </c>
      <c r="U47" s="204">
        <v>185.82000732421881</v>
      </c>
      <c r="V47" s="207">
        <f t="shared" si="1"/>
        <v>3.8274604999685824E-2</v>
      </c>
      <c r="X47" s="204">
        <v>410.45001220703119</v>
      </c>
      <c r="Y47" s="207">
        <f t="shared" si="2"/>
        <v>-9.6513448719646178E-3</v>
      </c>
      <c r="AA47" s="204">
        <v>1087.599975585938</v>
      </c>
      <c r="AB47" s="207">
        <f t="shared" si="3"/>
        <v>3.7093569395701742E-2</v>
      </c>
      <c r="AC47" s="200"/>
    </row>
    <row r="48" spans="3:29" x14ac:dyDescent="0.3">
      <c r="O48" s="199"/>
      <c r="P48" s="202">
        <v>46105</v>
      </c>
      <c r="R48" s="204">
        <v>22912.400390625</v>
      </c>
      <c r="S48" s="207">
        <f t="shared" si="0"/>
        <v>-1.6907287095796142E-2</v>
      </c>
      <c r="U48" s="204">
        <v>181.6499938964844</v>
      </c>
      <c r="V48" s="207">
        <f t="shared" si="1"/>
        <v>-2.2441143382685214E-2</v>
      </c>
      <c r="X48" s="204">
        <v>401.20001220703119</v>
      </c>
      <c r="Y48" s="207">
        <f t="shared" si="2"/>
        <v>-2.2536240041172939E-2</v>
      </c>
      <c r="AA48" s="204">
        <v>1071.400024414062</v>
      </c>
      <c r="AB48" s="207">
        <f t="shared" si="3"/>
        <v>-1.4895137491289789E-2</v>
      </c>
      <c r="AC48" s="200"/>
    </row>
    <row r="49" spans="15:29" x14ac:dyDescent="0.3">
      <c r="O49" s="199"/>
      <c r="P49" s="202">
        <v>46104</v>
      </c>
      <c r="R49" s="204">
        <v>22512.650390625</v>
      </c>
      <c r="S49" s="207">
        <f t="shared" si="0"/>
        <v>-1.7446884358897852E-2</v>
      </c>
      <c r="U49" s="204">
        <v>180.80000305175781</v>
      </c>
      <c r="V49" s="207">
        <f t="shared" si="1"/>
        <v>-4.6792781353517388E-3</v>
      </c>
      <c r="X49" s="204">
        <v>400.20001220703119</v>
      </c>
      <c r="Y49" s="207">
        <f t="shared" si="2"/>
        <v>-2.4925223568637023E-3</v>
      </c>
      <c r="AA49" s="204">
        <v>1029.5</v>
      </c>
      <c r="AB49" s="207">
        <f t="shared" si="3"/>
        <v>-3.9107731434836146E-2</v>
      </c>
      <c r="AC49" s="200"/>
    </row>
    <row r="50" spans="15:29" x14ac:dyDescent="0.3">
      <c r="O50" s="199"/>
      <c r="P50" s="202">
        <v>46101</v>
      </c>
      <c r="R50" s="204">
        <v>23114.5</v>
      </c>
      <c r="S50" s="207">
        <f t="shared" si="0"/>
        <v>2.6733840704319389E-2</v>
      </c>
      <c r="U50" s="204">
        <v>185.46000671386719</v>
      </c>
      <c r="V50" s="207">
        <f t="shared" si="1"/>
        <v>2.5774356103165363E-2</v>
      </c>
      <c r="X50" s="204">
        <v>402.54998779296881</v>
      </c>
      <c r="Y50" s="207">
        <f t="shared" si="2"/>
        <v>5.8720027842527056E-3</v>
      </c>
      <c r="AA50" s="204">
        <v>1067</v>
      </c>
      <c r="AB50" s="207">
        <f t="shared" si="3"/>
        <v>3.6425449247207364E-2</v>
      </c>
      <c r="AC50" s="200"/>
    </row>
    <row r="51" spans="15:29" x14ac:dyDescent="0.3">
      <c r="O51" s="199"/>
      <c r="P51" s="202">
        <v>46100</v>
      </c>
      <c r="R51" s="204">
        <v>23002.150390625</v>
      </c>
      <c r="S51" s="207">
        <f t="shared" si="0"/>
        <v>-4.8605684472949884E-3</v>
      </c>
      <c r="U51" s="204">
        <v>179.19999694824219</v>
      </c>
      <c r="V51" s="207">
        <f t="shared" si="1"/>
        <v>-3.3753960633049696E-2</v>
      </c>
      <c r="X51" s="204">
        <v>397.25</v>
      </c>
      <c r="Y51" s="207">
        <f t="shared" si="2"/>
        <v>-1.3166036402153858E-2</v>
      </c>
      <c r="AA51" s="204">
        <v>1039.5</v>
      </c>
      <c r="AB51" s="207">
        <f t="shared" si="3"/>
        <v>-2.5773195876288679E-2</v>
      </c>
      <c r="AC51" s="200"/>
    </row>
    <row r="52" spans="15:29" x14ac:dyDescent="0.3">
      <c r="O52" s="199"/>
      <c r="P52" s="202">
        <v>46099</v>
      </c>
      <c r="R52" s="204">
        <v>23777.80078125</v>
      </c>
      <c r="S52" s="207">
        <f t="shared" si="0"/>
        <v>3.3720777294853788E-2</v>
      </c>
      <c r="U52" s="204">
        <v>186.77000427246091</v>
      </c>
      <c r="V52" s="207">
        <f t="shared" si="1"/>
        <v>4.2243345162584767E-2</v>
      </c>
      <c r="X52" s="204">
        <v>407.39999389648438</v>
      </c>
      <c r="Y52" s="207">
        <f t="shared" si="2"/>
        <v>2.5550645428532137E-2</v>
      </c>
      <c r="AA52" s="204">
        <v>1073.400024414062</v>
      </c>
      <c r="AB52" s="207">
        <f t="shared" si="3"/>
        <v>3.2611856098183845E-2</v>
      </c>
      <c r="AC52" s="200"/>
    </row>
    <row r="53" spans="15:29" x14ac:dyDescent="0.3">
      <c r="O53" s="199"/>
      <c r="P53" s="202">
        <v>46098</v>
      </c>
      <c r="R53" s="204">
        <v>23581.150390625</v>
      </c>
      <c r="S53" s="207">
        <f t="shared" si="0"/>
        <v>-8.2703355299397208E-3</v>
      </c>
      <c r="U53" s="204">
        <v>181.0899963378906</v>
      </c>
      <c r="V53" s="207">
        <f t="shared" si="1"/>
        <v>-3.0411778147653168E-2</v>
      </c>
      <c r="X53" s="204">
        <v>402.04998779296881</v>
      </c>
      <c r="Y53" s="207">
        <f t="shared" si="2"/>
        <v>-1.3132072124858563E-2</v>
      </c>
      <c r="AA53" s="204">
        <v>1053</v>
      </c>
      <c r="AB53" s="207">
        <f t="shared" si="3"/>
        <v>-1.9005053055777488E-2</v>
      </c>
      <c r="AC53" s="200"/>
    </row>
    <row r="54" spans="15:29" x14ac:dyDescent="0.3">
      <c r="O54" s="199"/>
      <c r="P54" s="202">
        <v>46097</v>
      </c>
      <c r="R54" s="204">
        <v>23408.80078125</v>
      </c>
      <c r="S54" s="207">
        <f t="shared" si="0"/>
        <v>-7.3087871677167682E-3</v>
      </c>
      <c r="U54" s="204">
        <v>179.02000427246091</v>
      </c>
      <c r="V54" s="207">
        <f t="shared" si="1"/>
        <v>-1.1430736690542287E-2</v>
      </c>
      <c r="X54" s="204">
        <v>408.20001220703119</v>
      </c>
      <c r="Y54" s="207">
        <f t="shared" si="2"/>
        <v>1.5296666088270738E-2</v>
      </c>
      <c r="AA54" s="204">
        <v>1018.5</v>
      </c>
      <c r="AB54" s="207">
        <f t="shared" si="3"/>
        <v>-3.2763532763532721E-2</v>
      </c>
      <c r="AC54" s="200"/>
    </row>
    <row r="55" spans="15:29" x14ac:dyDescent="0.3">
      <c r="O55" s="199"/>
      <c r="P55" s="202">
        <v>46094</v>
      </c>
      <c r="R55" s="204">
        <v>23151.099609375</v>
      </c>
      <c r="S55" s="207">
        <f t="shared" si="0"/>
        <v>-1.1008730190117832E-2</v>
      </c>
      <c r="U55" s="204">
        <v>182.52000427246091</v>
      </c>
      <c r="V55" s="207">
        <f t="shared" si="1"/>
        <v>1.9550887702321607E-2</v>
      </c>
      <c r="X55" s="204">
        <v>403.54998779296881</v>
      </c>
      <c r="Y55" s="207">
        <f t="shared" si="2"/>
        <v>-1.1391534235682399E-2</v>
      </c>
      <c r="AA55" s="204">
        <v>1013.200012207031</v>
      </c>
      <c r="AB55" s="207">
        <f t="shared" si="3"/>
        <v>-5.2037189916239734E-3</v>
      </c>
      <c r="AC55" s="200"/>
    </row>
    <row r="56" spans="15:29" x14ac:dyDescent="0.3">
      <c r="O56" s="199"/>
      <c r="P56" s="202">
        <v>46093</v>
      </c>
      <c r="R56" s="204">
        <v>23639.150390625</v>
      </c>
      <c r="S56" s="207">
        <f t="shared" si="0"/>
        <v>2.1081105843126613E-2</v>
      </c>
      <c r="U56" s="204">
        <v>192.57000732421881</v>
      </c>
      <c r="V56" s="207">
        <f t="shared" si="1"/>
        <v>5.5062474339829137E-2</v>
      </c>
      <c r="X56" s="204">
        <v>410.85000610351563</v>
      </c>
      <c r="Y56" s="207">
        <f t="shared" si="2"/>
        <v>1.8089501998181046E-2</v>
      </c>
      <c r="AA56" s="204">
        <v>1068.5</v>
      </c>
      <c r="AB56" s="207">
        <f t="shared" si="3"/>
        <v>5.4579537235210029E-2</v>
      </c>
      <c r="AC56" s="200"/>
    </row>
    <row r="57" spans="15:29" x14ac:dyDescent="0.3">
      <c r="O57" s="199"/>
      <c r="P57" s="202">
        <v>46092</v>
      </c>
      <c r="R57" s="204">
        <v>23866.849609375</v>
      </c>
      <c r="S57" s="207">
        <f t="shared" si="0"/>
        <v>9.6322928272540853E-3</v>
      </c>
      <c r="U57" s="204">
        <v>195.44000244140619</v>
      </c>
      <c r="V57" s="207">
        <f t="shared" si="1"/>
        <v>1.4903645469334981E-2</v>
      </c>
      <c r="X57" s="204">
        <v>420</v>
      </c>
      <c r="Y57" s="207">
        <f t="shared" si="2"/>
        <v>2.2270886602296924E-2</v>
      </c>
      <c r="AA57" s="204">
        <v>1081.699951171875</v>
      </c>
      <c r="AB57" s="207">
        <f t="shared" si="3"/>
        <v>1.2353721265208284E-2</v>
      </c>
      <c r="AC57" s="200"/>
    </row>
    <row r="58" spans="15:29" x14ac:dyDescent="0.3">
      <c r="O58" s="199"/>
      <c r="P58" s="202">
        <v>46091</v>
      </c>
      <c r="R58" s="204">
        <v>24261.599609375</v>
      </c>
      <c r="S58" s="207">
        <f t="shared" si="0"/>
        <v>1.653967768938136E-2</v>
      </c>
      <c r="U58" s="204">
        <v>192.19999694824219</v>
      </c>
      <c r="V58" s="207">
        <f t="shared" si="1"/>
        <v>-1.6578005795591322E-2</v>
      </c>
      <c r="X58" s="204">
        <v>420.70001220703119</v>
      </c>
      <c r="Y58" s="207">
        <f t="shared" si="2"/>
        <v>1.666695731026735E-3</v>
      </c>
      <c r="AA58" s="204">
        <v>1114.5</v>
      </c>
      <c r="AB58" s="207">
        <f t="shared" si="3"/>
        <v>3.032268679737915E-2</v>
      </c>
      <c r="AC58" s="200"/>
    </row>
    <row r="59" spans="15:29" x14ac:dyDescent="0.3">
      <c r="O59" s="199"/>
      <c r="P59" s="202">
        <v>46090</v>
      </c>
      <c r="R59" s="204">
        <v>24028.05078125</v>
      </c>
      <c r="S59" s="207">
        <f t="shared" si="0"/>
        <v>-9.6262749317960195E-3</v>
      </c>
      <c r="U59" s="204">
        <v>187.57000732421881</v>
      </c>
      <c r="V59" s="207">
        <f t="shared" si="1"/>
        <v>-2.4089436511646745E-2</v>
      </c>
      <c r="X59" s="204">
        <v>412.39999389648438</v>
      </c>
      <c r="Y59" s="207">
        <f t="shared" si="2"/>
        <v>-1.9729066008351559E-2</v>
      </c>
      <c r="AA59" s="204">
        <v>1082.099975585938</v>
      </c>
      <c r="AB59" s="207">
        <f t="shared" si="3"/>
        <v>-2.9071354341912992E-2</v>
      </c>
      <c r="AC59" s="200"/>
    </row>
    <row r="60" spans="15:29" x14ac:dyDescent="0.3">
      <c r="O60" s="199"/>
      <c r="P60" s="202">
        <v>46087</v>
      </c>
      <c r="R60" s="204">
        <v>24450.44921875</v>
      </c>
      <c r="S60" s="207">
        <f t="shared" si="0"/>
        <v>1.7579388413379471E-2</v>
      </c>
      <c r="U60" s="204">
        <v>195.74000549316409</v>
      </c>
      <c r="V60" s="207">
        <f t="shared" si="1"/>
        <v>4.3557060563650163E-2</v>
      </c>
      <c r="X60" s="204">
        <v>425.35000610351563</v>
      </c>
      <c r="Y60" s="207">
        <f t="shared" si="2"/>
        <v>3.1401581956089553E-2</v>
      </c>
      <c r="AA60" s="204">
        <v>1121.300048828125</v>
      </c>
      <c r="AB60" s="207">
        <f t="shared" si="3"/>
        <v>3.6225925632205058E-2</v>
      </c>
      <c r="AC60" s="200"/>
    </row>
    <row r="61" spans="15:29" x14ac:dyDescent="0.3">
      <c r="O61" s="199"/>
      <c r="P61" s="202">
        <v>46086</v>
      </c>
      <c r="R61" s="204">
        <v>24765.900390625</v>
      </c>
      <c r="S61" s="207">
        <f t="shared" si="0"/>
        <v>1.2901651378784962E-2</v>
      </c>
      <c r="U61" s="204">
        <v>197.8999938964844</v>
      </c>
      <c r="V61" s="207">
        <f t="shared" si="1"/>
        <v>1.1034986935237079E-2</v>
      </c>
      <c r="X61" s="204">
        <v>426.60000610351563</v>
      </c>
      <c r="Y61" s="207">
        <f t="shared" si="2"/>
        <v>2.9387562761566954E-3</v>
      </c>
      <c r="AA61" s="204">
        <v>1118.300048828125</v>
      </c>
      <c r="AB61" s="207">
        <f t="shared" si="3"/>
        <v>-2.6754658604851711E-3</v>
      </c>
      <c r="AC61" s="200"/>
    </row>
    <row r="62" spans="15:29" x14ac:dyDescent="0.3">
      <c r="O62" s="199"/>
      <c r="P62" s="202">
        <v>46085</v>
      </c>
      <c r="R62" s="204">
        <v>24480.5</v>
      </c>
      <c r="S62" s="207">
        <f t="shared" si="0"/>
        <v>-1.1523925483163056E-2</v>
      </c>
      <c r="U62" s="204">
        <v>196.03999328613281</v>
      </c>
      <c r="V62" s="207">
        <f t="shared" si="1"/>
        <v>-9.3986895791644542E-3</v>
      </c>
      <c r="X62" s="204">
        <v>422.85000610351563</v>
      </c>
      <c r="Y62" s="207">
        <f t="shared" si="2"/>
        <v>-8.7904358798580606E-3</v>
      </c>
      <c r="AA62" s="204">
        <v>1124.5</v>
      </c>
      <c r="AB62" s="207">
        <f t="shared" si="3"/>
        <v>5.5440855773654096E-3</v>
      </c>
      <c r="AC62" s="200"/>
    </row>
    <row r="63" spans="15:29" x14ac:dyDescent="0.3">
      <c r="O63" s="199"/>
      <c r="P63" s="202">
        <v>46083</v>
      </c>
      <c r="R63" s="204">
        <v>24865.69921875</v>
      </c>
      <c r="S63" s="207">
        <f t="shared" si="0"/>
        <v>1.5734940820244736E-2</v>
      </c>
      <c r="U63" s="204">
        <v>205.80000305175781</v>
      </c>
      <c r="V63" s="207">
        <f t="shared" si="1"/>
        <v>4.9785809528057001E-2</v>
      </c>
      <c r="X63" s="204">
        <v>431.10000610351563</v>
      </c>
      <c r="Y63" s="207">
        <f t="shared" si="2"/>
        <v>1.9510464422177076E-2</v>
      </c>
      <c r="AA63" s="204">
        <v>1140.400024414062</v>
      </c>
      <c r="AB63" s="207">
        <f t="shared" si="3"/>
        <v>1.4139639318863528E-2</v>
      </c>
      <c r="AC63" s="200"/>
    </row>
    <row r="64" spans="15:29" x14ac:dyDescent="0.3">
      <c r="O64" s="199"/>
      <c r="P64" s="202">
        <v>46080</v>
      </c>
      <c r="R64" s="204">
        <v>25178.650390625</v>
      </c>
      <c r="S64" s="207">
        <f t="shared" si="0"/>
        <v>1.2585657419961871E-2</v>
      </c>
      <c r="U64" s="204">
        <v>214.99000549316409</v>
      </c>
      <c r="V64" s="207">
        <f t="shared" si="1"/>
        <v>4.46550160599124E-2</v>
      </c>
      <c r="X64" s="204">
        <v>436.54998779296881</v>
      </c>
      <c r="Y64" s="207">
        <f t="shared" si="2"/>
        <v>1.2642035751083913E-2</v>
      </c>
      <c r="AA64" s="204">
        <v>1188.5</v>
      </c>
      <c r="AB64" s="207">
        <f t="shared" si="3"/>
        <v>4.2178160782355034E-2</v>
      </c>
      <c r="AC64" s="200"/>
    </row>
    <row r="65" spans="15:29" x14ac:dyDescent="0.3">
      <c r="O65" s="199"/>
      <c r="P65" s="202">
        <v>46079</v>
      </c>
      <c r="R65" s="204">
        <v>25496.55078125</v>
      </c>
      <c r="S65" s="207">
        <f t="shared" si="0"/>
        <v>1.2625791521509333E-2</v>
      </c>
      <c r="U65" s="204">
        <v>213.33000183105469</v>
      </c>
      <c r="V65" s="207">
        <f t="shared" si="1"/>
        <v>-7.7213061988696818E-3</v>
      </c>
      <c r="X65" s="204">
        <v>439.45001220703119</v>
      </c>
      <c r="Y65" s="207">
        <f t="shared" si="2"/>
        <v>6.6430523311289402E-3</v>
      </c>
      <c r="AA65" s="204">
        <v>1230.599975585938</v>
      </c>
      <c r="AB65" s="207">
        <f t="shared" si="3"/>
        <v>3.5422781309160989E-2</v>
      </c>
      <c r="AC65" s="200"/>
    </row>
    <row r="66" spans="15:29" x14ac:dyDescent="0.3">
      <c r="O66" s="199"/>
      <c r="P66" s="202">
        <v>46078</v>
      </c>
      <c r="R66" s="204">
        <v>25482.5</v>
      </c>
      <c r="S66" s="207">
        <f t="shared" si="0"/>
        <v>-5.5108557116412271E-4</v>
      </c>
      <c r="U66" s="204">
        <v>215.21000671386719</v>
      </c>
      <c r="V66" s="207">
        <f t="shared" si="1"/>
        <v>8.8126605103644451E-3</v>
      </c>
      <c r="X66" s="204">
        <v>449</v>
      </c>
      <c r="Y66" s="207">
        <f t="shared" si="2"/>
        <v>2.173168171052331E-2</v>
      </c>
      <c r="AA66" s="204">
        <v>1217.800048828125</v>
      </c>
      <c r="AB66" s="207">
        <f t="shared" si="3"/>
        <v>-1.0401370885545824E-2</v>
      </c>
      <c r="AC66" s="200"/>
    </row>
    <row r="67" spans="15:29" x14ac:dyDescent="0.3">
      <c r="O67" s="199"/>
      <c r="P67" s="202">
        <v>46077</v>
      </c>
      <c r="R67" s="204">
        <v>25424.650390625</v>
      </c>
      <c r="S67" s="207">
        <f t="shared" si="0"/>
        <v>-2.2701700922201917E-3</v>
      </c>
      <c r="U67" s="204">
        <v>213.57000732421881</v>
      </c>
      <c r="V67" s="207">
        <f t="shared" si="1"/>
        <v>-7.6204606592891189E-3</v>
      </c>
      <c r="X67" s="204">
        <v>423.29998779296881</v>
      </c>
      <c r="Y67" s="207">
        <f t="shared" si="2"/>
        <v>-5.7238334536817814E-2</v>
      </c>
      <c r="AA67" s="204">
        <v>1177.5</v>
      </c>
      <c r="AB67" s="207">
        <f t="shared" si="3"/>
        <v>-3.3092500584890994E-2</v>
      </c>
      <c r="AC67" s="200"/>
    </row>
    <row r="68" spans="15:29" x14ac:dyDescent="0.3">
      <c r="O68" s="199"/>
      <c r="P68" s="202">
        <v>46076</v>
      </c>
      <c r="R68" s="204">
        <v>25713</v>
      </c>
      <c r="S68" s="207">
        <f t="shared" si="0"/>
        <v>1.1341340193268712E-2</v>
      </c>
      <c r="U68" s="204">
        <v>217.71000671386719</v>
      </c>
      <c r="V68" s="207">
        <f t="shared" si="1"/>
        <v>1.9384741525824367E-2</v>
      </c>
      <c r="X68" s="204">
        <v>417.89999389648438</v>
      </c>
      <c r="Y68" s="207">
        <f t="shared" si="2"/>
        <v>-1.2756895941904656E-2</v>
      </c>
      <c r="AA68" s="204">
        <v>1196</v>
      </c>
      <c r="AB68" s="207">
        <f t="shared" si="3"/>
        <v>1.571125265392781E-2</v>
      </c>
      <c r="AC68" s="200"/>
    </row>
    <row r="69" spans="15:29" x14ac:dyDescent="0.3">
      <c r="O69" s="199"/>
      <c r="P69" s="202">
        <v>46073</v>
      </c>
      <c r="R69" s="204">
        <v>25571.25</v>
      </c>
      <c r="S69" s="207">
        <f t="shared" si="0"/>
        <v>-5.5127756387819415E-3</v>
      </c>
      <c r="U69" s="204">
        <v>220.96000671386719</v>
      </c>
      <c r="V69" s="207">
        <f t="shared" si="1"/>
        <v>1.4928114922486913E-2</v>
      </c>
      <c r="X69" s="204">
        <v>413.75</v>
      </c>
      <c r="Y69" s="207">
        <f t="shared" si="2"/>
        <v>-9.930590947824558E-3</v>
      </c>
      <c r="AA69" s="204">
        <v>1195.199951171875</v>
      </c>
      <c r="AB69" s="207">
        <f t="shared" si="3"/>
        <v>-6.6893714726168341E-4</v>
      </c>
      <c r="AC69" s="200"/>
    </row>
    <row r="70" spans="15:29" x14ac:dyDescent="0.3">
      <c r="O70" s="199"/>
      <c r="P70" s="202">
        <v>46072</v>
      </c>
      <c r="R70" s="204">
        <v>25454.349609375</v>
      </c>
      <c r="S70" s="207">
        <f t="shared" si="0"/>
        <v>-4.5715555799971108E-3</v>
      </c>
      <c r="U70" s="204">
        <v>218.11000061035159</v>
      </c>
      <c r="V70" s="207">
        <f t="shared" si="1"/>
        <v>-1.2898289359694948E-2</v>
      </c>
      <c r="X70" s="204">
        <v>415.04998779296881</v>
      </c>
      <c r="Y70" s="207">
        <f t="shared" si="2"/>
        <v>3.1419644543053682E-3</v>
      </c>
      <c r="AA70" s="204">
        <v>1190.5</v>
      </c>
      <c r="AB70" s="207">
        <f t="shared" si="3"/>
        <v>-3.9323555588056669E-3</v>
      </c>
      <c r="AC70" s="200"/>
    </row>
    <row r="71" spans="15:29" x14ac:dyDescent="0.3">
      <c r="O71" s="199"/>
      <c r="P71" s="202">
        <v>46071</v>
      </c>
      <c r="R71" s="204">
        <v>25819.349609375</v>
      </c>
      <c r="S71" s="207">
        <f t="shared" si="0"/>
        <v>1.4339396040414565E-2</v>
      </c>
      <c r="U71" s="204">
        <v>223.5</v>
      </c>
      <c r="V71" s="207">
        <f t="shared" si="1"/>
        <v>2.471229826493615E-2</v>
      </c>
      <c r="X71" s="204">
        <v>418.64999389648438</v>
      </c>
      <c r="Y71" s="207">
        <f t="shared" si="2"/>
        <v>8.6736687372492849E-3</v>
      </c>
      <c r="AA71" s="204">
        <v>1208.800048828125</v>
      </c>
      <c r="AB71" s="207">
        <f t="shared" si="3"/>
        <v>1.537173358095334E-2</v>
      </c>
      <c r="AC71" s="200"/>
    </row>
    <row r="72" spans="15:29" x14ac:dyDescent="0.3">
      <c r="O72" s="199"/>
      <c r="P72" s="202">
        <v>46070</v>
      </c>
      <c r="R72" s="204">
        <v>25725.400390625</v>
      </c>
      <c r="S72" s="207">
        <f t="shared" ref="S72:S135" si="7">IFERROR(R72/R71-1,0)</f>
        <v>-3.6387136070958892E-3</v>
      </c>
      <c r="U72" s="204">
        <v>220.94000244140619</v>
      </c>
      <c r="V72" s="207">
        <f t="shared" ref="V72:V135" si="8">IFERROR(U72/U71-1,0)</f>
        <v>-1.1454127778943168E-2</v>
      </c>
      <c r="X72" s="204">
        <v>422.45001220703119</v>
      </c>
      <c r="Y72" s="207">
        <f t="shared" ref="Y72:Y135" si="9">IFERROR(X72/X71-1,0)</f>
        <v>9.0768383278334586E-3</v>
      </c>
      <c r="AA72" s="204">
        <v>1217.400024414062</v>
      </c>
      <c r="AB72" s="207">
        <f t="shared" ref="AB72:AB135" si="10">IFERROR(AA72/AA71-1,0)</f>
        <v>7.1144732284502687E-3</v>
      </c>
      <c r="AC72" s="200"/>
    </row>
    <row r="73" spans="15:29" x14ac:dyDescent="0.3">
      <c r="O73" s="199"/>
      <c r="P73" s="202">
        <v>46069</v>
      </c>
      <c r="R73" s="204">
        <v>25682.75</v>
      </c>
      <c r="S73" s="207">
        <f t="shared" si="7"/>
        <v>-1.6579096914869362E-3</v>
      </c>
      <c r="U73" s="204">
        <v>222.99000549316409</v>
      </c>
      <c r="V73" s="207">
        <f t="shared" si="8"/>
        <v>9.2785508694903651E-3</v>
      </c>
      <c r="X73" s="204">
        <v>417.75</v>
      </c>
      <c r="Y73" s="207">
        <f t="shared" si="9"/>
        <v>-1.1125605565677765E-2</v>
      </c>
      <c r="AA73" s="204">
        <v>1217.400024414062</v>
      </c>
      <c r="AB73" s="207">
        <f t="shared" si="10"/>
        <v>0</v>
      </c>
      <c r="AC73" s="200"/>
    </row>
    <row r="74" spans="15:29" x14ac:dyDescent="0.3">
      <c r="O74" s="199"/>
      <c r="P74" s="202">
        <v>46066</v>
      </c>
      <c r="R74" s="204">
        <v>25471.099609375</v>
      </c>
      <c r="S74" s="207">
        <f t="shared" si="7"/>
        <v>-8.2409551401232406E-3</v>
      </c>
      <c r="U74" s="204">
        <v>222.77000427246091</v>
      </c>
      <c r="V74" s="207">
        <f t="shared" si="8"/>
        <v>-9.8659677691215197E-4</v>
      </c>
      <c r="X74" s="204">
        <v>433.89999389648438</v>
      </c>
      <c r="Y74" s="207">
        <f t="shared" si="9"/>
        <v>3.865947072767062E-2</v>
      </c>
      <c r="AA74" s="204">
        <v>1244</v>
      </c>
      <c r="AB74" s="207">
        <f t="shared" si="10"/>
        <v>2.1849823437239291E-2</v>
      </c>
      <c r="AC74" s="200"/>
    </row>
    <row r="75" spans="15:29" x14ac:dyDescent="0.3">
      <c r="O75" s="199"/>
      <c r="P75" s="202">
        <v>46065</v>
      </c>
      <c r="R75" s="204">
        <v>25807.19921875</v>
      </c>
      <c r="S75" s="207">
        <f t="shared" si="7"/>
        <v>1.3195331749686012E-2</v>
      </c>
      <c r="U75" s="204">
        <v>228.83000183105469</v>
      </c>
      <c r="V75" s="207">
        <f t="shared" si="8"/>
        <v>2.7202933260179973E-2</v>
      </c>
      <c r="X75" s="204">
        <v>430.70001220703119</v>
      </c>
      <c r="Y75" s="207">
        <f t="shared" si="9"/>
        <v>-7.3749290953357693E-3</v>
      </c>
      <c r="AA75" s="204">
        <v>1247.900024414062</v>
      </c>
      <c r="AB75" s="207">
        <f t="shared" si="10"/>
        <v>3.1350678569630475E-3</v>
      </c>
      <c r="AC75" s="200"/>
    </row>
    <row r="76" spans="15:29" x14ac:dyDescent="0.3">
      <c r="O76" s="199"/>
      <c r="P76" s="202">
        <v>46064</v>
      </c>
      <c r="R76" s="204">
        <v>25953.849609375</v>
      </c>
      <c r="S76" s="207">
        <f t="shared" si="7"/>
        <v>5.6825380151461768E-3</v>
      </c>
      <c r="U76" s="204">
        <v>225.1499938964844</v>
      </c>
      <c r="V76" s="207">
        <f t="shared" si="8"/>
        <v>-1.6081842001151703E-2</v>
      </c>
      <c r="X76" s="204">
        <v>422.37899780273438</v>
      </c>
      <c r="Y76" s="207">
        <f t="shared" si="9"/>
        <v>-1.9319744992941978E-2</v>
      </c>
      <c r="AA76" s="204">
        <v>1245.800048828125</v>
      </c>
      <c r="AB76" s="207">
        <f t="shared" si="10"/>
        <v>-1.6828075525706643E-3</v>
      </c>
      <c r="AC76" s="200"/>
    </row>
    <row r="77" spans="15:29" x14ac:dyDescent="0.3">
      <c r="O77" s="199"/>
      <c r="P77" s="202">
        <v>46063</v>
      </c>
      <c r="R77" s="204">
        <v>25935.150390625</v>
      </c>
      <c r="S77" s="207">
        <f t="shared" si="7"/>
        <v>-7.2047958323862016E-4</v>
      </c>
      <c r="U77" s="204">
        <v>228.0299987792969</v>
      </c>
      <c r="V77" s="207">
        <f t="shared" si="8"/>
        <v>1.2791494385456792E-2</v>
      </c>
      <c r="X77" s="204">
        <v>421.53192138671881</v>
      </c>
      <c r="Y77" s="207">
        <f t="shared" si="9"/>
        <v>-2.00548895760011E-3</v>
      </c>
      <c r="AA77" s="204">
        <v>1230.299926757812</v>
      </c>
      <c r="AB77" s="207">
        <f t="shared" si="10"/>
        <v>-1.2441901960826951E-2</v>
      </c>
      <c r="AC77" s="200"/>
    </row>
    <row r="78" spans="15:29" x14ac:dyDescent="0.3">
      <c r="O78" s="199"/>
      <c r="P78" s="202">
        <v>46062</v>
      </c>
      <c r="R78" s="204">
        <v>25867.30078125</v>
      </c>
      <c r="S78" s="207">
        <f t="shared" si="7"/>
        <v>-2.6161255420954488E-3</v>
      </c>
      <c r="U78" s="204">
        <v>223.9100036621094</v>
      </c>
      <c r="V78" s="207">
        <f t="shared" si="8"/>
        <v>-1.8067776780436362E-2</v>
      </c>
      <c r="X78" s="204">
        <v>448.08944702148438</v>
      </c>
      <c r="Y78" s="207">
        <f t="shared" si="9"/>
        <v>6.3002406905268149E-2</v>
      </c>
      <c r="AA78" s="204">
        <v>1203.119873046875</v>
      </c>
      <c r="AB78" s="207">
        <f t="shared" si="10"/>
        <v>-2.2092217612793119E-2</v>
      </c>
      <c r="AC78" s="200"/>
    </row>
    <row r="79" spans="15:29" x14ac:dyDescent="0.3">
      <c r="O79" s="199"/>
      <c r="P79" s="202">
        <v>46059</v>
      </c>
      <c r="R79" s="204">
        <v>25693.69921875</v>
      </c>
      <c r="S79" s="207">
        <f t="shared" si="7"/>
        <v>-6.7112360879120203E-3</v>
      </c>
      <c r="U79" s="204">
        <v>214.82000732421881</v>
      </c>
      <c r="V79" s="207">
        <f t="shared" si="8"/>
        <v>-4.0596651284986018E-2</v>
      </c>
      <c r="X79" s="204">
        <v>461.14398193359381</v>
      </c>
      <c r="Y79" s="207">
        <f t="shared" si="9"/>
        <v>2.9133770051682273E-2</v>
      </c>
      <c r="AA79" s="204">
        <v>1157.153564453125</v>
      </c>
      <c r="AB79" s="207">
        <f t="shared" si="10"/>
        <v>-3.8205925796355844E-2</v>
      </c>
      <c r="AC79" s="200"/>
    </row>
    <row r="80" spans="15:29" x14ac:dyDescent="0.3">
      <c r="O80" s="199"/>
      <c r="P80" s="202">
        <v>46058</v>
      </c>
      <c r="R80" s="204">
        <v>25642.80078125</v>
      </c>
      <c r="S80" s="207">
        <f t="shared" si="7"/>
        <v>-1.9809696169734714E-3</v>
      </c>
      <c r="U80" s="204">
        <v>215.8699951171875</v>
      </c>
      <c r="V80" s="207">
        <f t="shared" si="8"/>
        <v>4.887756061678239E-3</v>
      </c>
      <c r="X80" s="204">
        <v>465.13009643554688</v>
      </c>
      <c r="Y80" s="207">
        <f t="shared" si="9"/>
        <v>8.6439694718321025E-3</v>
      </c>
      <c r="AA80" s="204">
        <v>1229.900390625</v>
      </c>
      <c r="AB80" s="207">
        <f t="shared" si="10"/>
        <v>6.2867045832637913E-2</v>
      </c>
      <c r="AC80" s="200"/>
    </row>
    <row r="81" spans="15:29" x14ac:dyDescent="0.3">
      <c r="O81" s="199"/>
      <c r="P81" s="202">
        <v>46057</v>
      </c>
      <c r="R81" s="204">
        <v>25776</v>
      </c>
      <c r="S81" s="207">
        <f t="shared" si="7"/>
        <v>5.1944099198164562E-3</v>
      </c>
      <c r="U81" s="204">
        <v>217.22999572753909</v>
      </c>
      <c r="V81" s="207">
        <f t="shared" si="8"/>
        <v>6.3000909858421661E-3</v>
      </c>
      <c r="X81" s="204">
        <v>471.85665893554688</v>
      </c>
      <c r="Y81" s="207">
        <f t="shared" si="9"/>
        <v>1.4461679757014068E-2</v>
      </c>
      <c r="AA81" s="204">
        <v>1203.919311523438</v>
      </c>
      <c r="AB81" s="207">
        <f t="shared" si="10"/>
        <v>-2.1124539271313858E-2</v>
      </c>
      <c r="AC81" s="200"/>
    </row>
    <row r="82" spans="15:29" x14ac:dyDescent="0.3">
      <c r="O82" s="199"/>
      <c r="P82" s="202">
        <v>46056</v>
      </c>
      <c r="R82" s="204">
        <v>25727.55078125</v>
      </c>
      <c r="S82" s="207">
        <f t="shared" si="7"/>
        <v>-1.879625184279976E-3</v>
      </c>
      <c r="U82" s="204">
        <v>218.92999267578119</v>
      </c>
      <c r="V82" s="207">
        <f t="shared" si="8"/>
        <v>7.8257928540141908E-3</v>
      </c>
      <c r="X82" s="204">
        <v>465.27957153320313</v>
      </c>
      <c r="Y82" s="207">
        <f t="shared" si="9"/>
        <v>-1.3938740246202896E-2</v>
      </c>
      <c r="AA82" s="204">
        <v>1213.112548828125</v>
      </c>
      <c r="AB82" s="207">
        <f t="shared" si="10"/>
        <v>7.6360909046753189E-3</v>
      </c>
      <c r="AC82" s="200"/>
    </row>
    <row r="83" spans="15:29" x14ac:dyDescent="0.3">
      <c r="O83" s="199"/>
      <c r="P83" s="202">
        <v>46055</v>
      </c>
      <c r="R83" s="204">
        <v>25088.400390625</v>
      </c>
      <c r="S83" s="207">
        <f t="shared" si="7"/>
        <v>-2.4843032905052409E-2</v>
      </c>
      <c r="U83" s="204">
        <v>207.4700012207031</v>
      </c>
      <c r="V83" s="207">
        <f t="shared" si="8"/>
        <v>-5.2345461281997463E-2</v>
      </c>
      <c r="X83" s="204">
        <v>442.11026000976563</v>
      </c>
      <c r="Y83" s="207">
        <f t="shared" si="9"/>
        <v>-4.9796537267022711E-2</v>
      </c>
      <c r="AA83" s="204">
        <v>1177.338745117188</v>
      </c>
      <c r="AB83" s="207">
        <f t="shared" si="10"/>
        <v>-2.9489270179831828E-2</v>
      </c>
      <c r="AC83" s="200"/>
    </row>
    <row r="84" spans="15:29" x14ac:dyDescent="0.3">
      <c r="O84" s="199"/>
      <c r="P84" s="202">
        <v>46052</v>
      </c>
      <c r="R84" s="204">
        <v>25320.650390625</v>
      </c>
      <c r="S84" s="207">
        <f t="shared" si="7"/>
        <v>9.2572661622056795E-3</v>
      </c>
      <c r="U84" s="204">
        <v>204.13999938964841</v>
      </c>
      <c r="V84" s="207">
        <f t="shared" si="8"/>
        <v>-1.6050522058426608E-2</v>
      </c>
      <c r="X84" s="204">
        <v>448.93649291992188</v>
      </c>
      <c r="Y84" s="207">
        <f t="shared" si="9"/>
        <v>1.544011421495961E-2</v>
      </c>
      <c r="AA84" s="204">
        <v>1181.435791015625</v>
      </c>
      <c r="AB84" s="207">
        <f t="shared" si="10"/>
        <v>3.4799210638645217E-3</v>
      </c>
      <c r="AC84" s="200"/>
    </row>
    <row r="85" spans="15:29" x14ac:dyDescent="0.3">
      <c r="O85" s="199"/>
      <c r="P85" s="202">
        <v>46051</v>
      </c>
      <c r="R85" s="204">
        <v>25418.900390625</v>
      </c>
      <c r="S85" s="207">
        <f t="shared" si="7"/>
        <v>3.8802320826789582E-3</v>
      </c>
      <c r="U85" s="204">
        <v>190.6300048828125</v>
      </c>
      <c r="V85" s="207">
        <f t="shared" si="8"/>
        <v>-6.6180045788326702E-2</v>
      </c>
      <c r="X85" s="204">
        <v>416.8980712890625</v>
      </c>
      <c r="Y85" s="207">
        <f t="shared" si="9"/>
        <v>-7.1365153281433447E-2</v>
      </c>
      <c r="AA85" s="204">
        <v>1142.564208984375</v>
      </c>
      <c r="AB85" s="207">
        <f t="shared" si="10"/>
        <v>-3.290198445556991E-2</v>
      </c>
      <c r="AC85" s="200"/>
    </row>
    <row r="86" spans="15:29" x14ac:dyDescent="0.3">
      <c r="O86" s="199"/>
      <c r="P86" s="202">
        <v>46050</v>
      </c>
      <c r="R86" s="204">
        <v>25342.75</v>
      </c>
      <c r="S86" s="207">
        <f t="shared" si="7"/>
        <v>-2.9958176575208828E-3</v>
      </c>
      <c r="U86" s="204">
        <v>191.24000549316409</v>
      </c>
      <c r="V86" s="207">
        <f t="shared" si="8"/>
        <v>3.1999191875726751E-3</v>
      </c>
      <c r="X86" s="204">
        <v>419.48907470703119</v>
      </c>
      <c r="Y86" s="207">
        <f t="shared" si="9"/>
        <v>6.2149565958826702E-3</v>
      </c>
      <c r="AA86" s="204">
        <v>1147.760375976562</v>
      </c>
      <c r="AB86" s="207">
        <f t="shared" si="10"/>
        <v>4.5478118002715284E-3</v>
      </c>
      <c r="AC86" s="200"/>
    </row>
    <row r="87" spans="15:29" x14ac:dyDescent="0.3">
      <c r="O87" s="199"/>
      <c r="P87" s="202">
        <v>46049</v>
      </c>
      <c r="R87" s="204">
        <v>25175.400390625</v>
      </c>
      <c r="S87" s="207">
        <f t="shared" si="7"/>
        <v>-6.6034510609542796E-3</v>
      </c>
      <c r="U87" s="204">
        <v>193.30000305175781</v>
      </c>
      <c r="V87" s="207">
        <f t="shared" si="8"/>
        <v>1.0771791986103896E-2</v>
      </c>
      <c r="X87" s="204">
        <v>409.67324829101563</v>
      </c>
      <c r="Y87" s="207">
        <f t="shared" si="9"/>
        <v>-2.3399480481990809E-2</v>
      </c>
      <c r="AA87" s="204">
        <v>1144.162963867188</v>
      </c>
      <c r="AB87" s="207">
        <f t="shared" si="10"/>
        <v>-3.1342884670619853E-3</v>
      </c>
      <c r="AC87" s="200"/>
    </row>
    <row r="88" spans="15:29" x14ac:dyDescent="0.3">
      <c r="O88" s="199"/>
      <c r="P88" s="202">
        <v>46045</v>
      </c>
      <c r="R88" s="204">
        <v>25048.650390625</v>
      </c>
      <c r="S88" s="207">
        <f t="shared" si="7"/>
        <v>-5.0346766300963797E-3</v>
      </c>
      <c r="U88" s="204">
        <v>179.58000183105469</v>
      </c>
      <c r="V88" s="207">
        <f t="shared" si="8"/>
        <v>-7.0977759979804378E-2</v>
      </c>
      <c r="X88" s="204">
        <v>413.5596923828125</v>
      </c>
      <c r="Y88" s="207">
        <f t="shared" si="9"/>
        <v>9.4866924018335297E-3</v>
      </c>
      <c r="AA88" s="204">
        <v>1133.27099609375</v>
      </c>
      <c r="AB88" s="207">
        <f t="shared" si="10"/>
        <v>-9.5195947757510391E-3</v>
      </c>
      <c r="AC88" s="200"/>
    </row>
    <row r="89" spans="15:29" x14ac:dyDescent="0.3">
      <c r="O89" s="199"/>
      <c r="P89" s="202">
        <v>46044</v>
      </c>
      <c r="R89" s="204">
        <v>25289.900390625</v>
      </c>
      <c r="S89" s="207">
        <f t="shared" si="7"/>
        <v>9.6312574225672076E-3</v>
      </c>
      <c r="U89" s="204">
        <v>186.8800048828125</v>
      </c>
      <c r="V89" s="207">
        <f t="shared" si="8"/>
        <v>4.0650423083442799E-2</v>
      </c>
      <c r="X89" s="204">
        <v>432.19482421875</v>
      </c>
      <c r="Y89" s="207">
        <f t="shared" si="9"/>
        <v>4.5060319414997219E-2</v>
      </c>
      <c r="AA89" s="204">
        <v>1172.642211914062</v>
      </c>
      <c r="AB89" s="207">
        <f t="shared" si="10"/>
        <v>3.4741218963531217E-2</v>
      </c>
      <c r="AC89" s="200"/>
    </row>
    <row r="90" spans="15:29" x14ac:dyDescent="0.3">
      <c r="O90" s="199"/>
      <c r="P90" s="202">
        <v>46043</v>
      </c>
      <c r="R90" s="204">
        <v>25157.5</v>
      </c>
      <c r="S90" s="207">
        <f t="shared" si="7"/>
        <v>-5.2353069241063421E-3</v>
      </c>
      <c r="U90" s="204">
        <v>187.19999694824219</v>
      </c>
      <c r="V90" s="207">
        <f t="shared" si="8"/>
        <v>1.7122862642813264E-3</v>
      </c>
      <c r="X90" s="204">
        <v>429.55398559570313</v>
      </c>
      <c r="Y90" s="207">
        <f t="shared" si="9"/>
        <v>-6.1102967343964476E-3</v>
      </c>
      <c r="AA90" s="204">
        <v>1127.5751953125</v>
      </c>
      <c r="AB90" s="207">
        <f t="shared" si="10"/>
        <v>-3.8432026532629004E-2</v>
      </c>
      <c r="AC90" s="200"/>
    </row>
    <row r="91" spans="15:29" x14ac:dyDescent="0.3">
      <c r="O91" s="199"/>
      <c r="P91" s="202">
        <v>46042</v>
      </c>
      <c r="R91" s="204">
        <v>25232.5</v>
      </c>
      <c r="S91" s="207">
        <f t="shared" si="7"/>
        <v>2.9812183245552237E-3</v>
      </c>
      <c r="U91" s="204">
        <v>190.3800048828125</v>
      </c>
      <c r="V91" s="207">
        <f t="shared" si="8"/>
        <v>1.6987222149632553E-2</v>
      </c>
      <c r="X91" s="204">
        <v>436.77883911132813</v>
      </c>
      <c r="Y91" s="207">
        <f t="shared" si="9"/>
        <v>1.6819430753518994E-2</v>
      </c>
      <c r="AA91" s="204">
        <v>1119.5810546875</v>
      </c>
      <c r="AB91" s="207">
        <f t="shared" si="10"/>
        <v>-7.0896740707252492E-3</v>
      </c>
      <c r="AC91" s="200"/>
    </row>
    <row r="92" spans="15:29" x14ac:dyDescent="0.3">
      <c r="O92" s="199"/>
      <c r="P92" s="202">
        <v>46041</v>
      </c>
      <c r="R92" s="204">
        <v>25585.5</v>
      </c>
      <c r="S92" s="207">
        <f t="shared" si="7"/>
        <v>1.3989893985930868E-2</v>
      </c>
      <c r="U92" s="204">
        <v>194.5</v>
      </c>
      <c r="V92" s="207">
        <f t="shared" si="8"/>
        <v>2.1640902466220302E-2</v>
      </c>
      <c r="X92" s="204">
        <v>451.72677612304688</v>
      </c>
      <c r="Y92" s="207">
        <f t="shared" si="9"/>
        <v>3.4223125465812076E-2</v>
      </c>
      <c r="AA92" s="204">
        <v>1154.055786132812</v>
      </c>
      <c r="AB92" s="207">
        <f t="shared" si="10"/>
        <v>3.0792528420315879E-2</v>
      </c>
      <c r="AC92" s="200"/>
    </row>
    <row r="93" spans="15:29" x14ac:dyDescent="0.3">
      <c r="O93" s="199"/>
      <c r="P93" s="202">
        <v>46038</v>
      </c>
      <c r="R93" s="204">
        <v>25694.349609375</v>
      </c>
      <c r="S93" s="207">
        <f t="shared" si="7"/>
        <v>4.2543475552558885E-3</v>
      </c>
      <c r="U93" s="204">
        <v>197.8999938964844</v>
      </c>
      <c r="V93" s="207">
        <f t="shared" si="8"/>
        <v>1.748068841380146E-2</v>
      </c>
      <c r="X93" s="204">
        <v>463.2366943359375</v>
      </c>
      <c r="Y93" s="207">
        <f t="shared" si="9"/>
        <v>2.5479822807217056E-2</v>
      </c>
      <c r="AA93" s="204">
        <v>1183.134521484375</v>
      </c>
      <c r="AB93" s="207">
        <f t="shared" si="10"/>
        <v>2.5196992815229802E-2</v>
      </c>
      <c r="AC93" s="200"/>
    </row>
    <row r="94" spans="15:29" x14ac:dyDescent="0.3">
      <c r="O94" s="199"/>
      <c r="P94" s="202">
        <v>46036</v>
      </c>
      <c r="R94" s="204">
        <v>25665.599609375</v>
      </c>
      <c r="S94" s="207">
        <f t="shared" si="7"/>
        <v>-1.118923048727849E-3</v>
      </c>
      <c r="U94" s="204">
        <v>198.6000061035156</v>
      </c>
      <c r="V94" s="207">
        <f t="shared" si="8"/>
        <v>3.537201761599551E-3</v>
      </c>
      <c r="X94" s="204">
        <v>462.24017333984381</v>
      </c>
      <c r="Y94" s="207">
        <f t="shared" si="9"/>
        <v>-2.1512134256165272E-3</v>
      </c>
      <c r="AA94" s="204">
        <v>1191.528442382812</v>
      </c>
      <c r="AB94" s="207">
        <f t="shared" si="10"/>
        <v>7.0946462519798636E-3</v>
      </c>
      <c r="AC94" s="200"/>
    </row>
    <row r="95" spans="15:29" x14ac:dyDescent="0.3">
      <c r="O95" s="199"/>
      <c r="P95" s="202">
        <v>46035</v>
      </c>
      <c r="R95" s="204">
        <v>25732.30078125</v>
      </c>
      <c r="S95" s="207">
        <f t="shared" si="7"/>
        <v>2.5988550000848321E-3</v>
      </c>
      <c r="U95" s="204">
        <v>201.00999450683591</v>
      </c>
      <c r="V95" s="207">
        <f t="shared" si="8"/>
        <v>1.2134885847204568E-2</v>
      </c>
      <c r="X95" s="204">
        <v>457.357177734375</v>
      </c>
      <c r="Y95" s="207">
        <f t="shared" si="9"/>
        <v>-1.0563762924774567E-2</v>
      </c>
      <c r="AA95" s="204">
        <v>1199.922241210938</v>
      </c>
      <c r="AB95" s="207">
        <f t="shared" si="10"/>
        <v>7.0445643843297656E-3</v>
      </c>
      <c r="AC95" s="200"/>
    </row>
    <row r="96" spans="15:29" x14ac:dyDescent="0.3">
      <c r="O96" s="199"/>
      <c r="P96" s="202">
        <v>46034</v>
      </c>
      <c r="R96" s="204">
        <v>25790.25</v>
      </c>
      <c r="S96" s="207">
        <f t="shared" si="7"/>
        <v>2.2520030075283692E-3</v>
      </c>
      <c r="U96" s="204">
        <v>198.32000732421881</v>
      </c>
      <c r="V96" s="207">
        <f t="shared" si="8"/>
        <v>-1.33823553859439E-2</v>
      </c>
      <c r="X96" s="204">
        <v>458.35369873046881</v>
      </c>
      <c r="Y96" s="207">
        <f t="shared" si="9"/>
        <v>2.1788681682668454E-3</v>
      </c>
      <c r="AA96" s="204">
        <v>1209.115478515625</v>
      </c>
      <c r="AB96" s="207">
        <f t="shared" si="10"/>
        <v>7.6615275464928523E-3</v>
      </c>
      <c r="AC96" s="200"/>
    </row>
    <row r="97" spans="15:29" x14ac:dyDescent="0.3">
      <c r="O97" s="199"/>
      <c r="P97" s="202">
        <v>46031</v>
      </c>
      <c r="R97" s="204">
        <v>25683.30078125</v>
      </c>
      <c r="S97" s="207">
        <f t="shared" si="7"/>
        <v>-4.1468856932367348E-3</v>
      </c>
      <c r="U97" s="204">
        <v>199.1499938964844</v>
      </c>
      <c r="V97" s="207">
        <f t="shared" si="8"/>
        <v>4.1850874425832796E-3</v>
      </c>
      <c r="X97" s="204">
        <v>458.45333862304688</v>
      </c>
      <c r="Y97" s="207">
        <f t="shared" si="9"/>
        <v>2.1738646999924782E-4</v>
      </c>
      <c r="AA97" s="204">
        <v>1248.886474609375</v>
      </c>
      <c r="AB97" s="207">
        <f t="shared" si="10"/>
        <v>3.2892636642593454E-2</v>
      </c>
      <c r="AC97" s="200"/>
    </row>
    <row r="98" spans="15:29" x14ac:dyDescent="0.3">
      <c r="O98" s="199"/>
      <c r="P98" s="202">
        <v>46030</v>
      </c>
      <c r="R98" s="204">
        <v>25876.849609375</v>
      </c>
      <c r="S98" s="207">
        <f t="shared" si="7"/>
        <v>7.5359794978648864E-3</v>
      </c>
      <c r="U98" s="204">
        <v>205.80999755859381</v>
      </c>
      <c r="V98" s="207">
        <f t="shared" si="8"/>
        <v>3.3442148462084154E-2</v>
      </c>
      <c r="X98" s="204">
        <v>457.20767211914063</v>
      </c>
      <c r="Y98" s="207">
        <f t="shared" si="9"/>
        <v>-2.7171064074864582E-3</v>
      </c>
      <c r="AA98" s="204">
        <v>1269.071655273438</v>
      </c>
      <c r="AB98" s="207">
        <f t="shared" si="10"/>
        <v>1.6162542452368589E-2</v>
      </c>
      <c r="AC98" s="200"/>
    </row>
    <row r="99" spans="15:29" x14ac:dyDescent="0.3">
      <c r="O99" s="199"/>
      <c r="P99" s="202">
        <v>46029</v>
      </c>
      <c r="R99" s="204">
        <v>26140.75</v>
      </c>
      <c r="S99" s="207">
        <f t="shared" si="7"/>
        <v>1.0198319911763454E-2</v>
      </c>
      <c r="U99" s="204">
        <v>214.47999572753909</v>
      </c>
      <c r="V99" s="207">
        <f t="shared" si="8"/>
        <v>4.2126224536186418E-2</v>
      </c>
      <c r="X99" s="204">
        <v>466.0269775390625</v>
      </c>
      <c r="Y99" s="207">
        <f t="shared" si="9"/>
        <v>1.9289495688129543E-2</v>
      </c>
      <c r="AA99" s="204">
        <v>1317.236328125</v>
      </c>
      <c r="AB99" s="207">
        <f t="shared" si="10"/>
        <v>3.7952681908401953E-2</v>
      </c>
      <c r="AC99" s="200"/>
    </row>
    <row r="100" spans="15:29" x14ac:dyDescent="0.3">
      <c r="O100" s="199"/>
      <c r="P100" s="202">
        <v>46028</v>
      </c>
      <c r="R100" s="204">
        <v>26178.69921875</v>
      </c>
      <c r="S100" s="207">
        <f t="shared" si="7"/>
        <v>1.4517264711226829E-3</v>
      </c>
      <c r="U100" s="204">
        <v>213.5</v>
      </c>
      <c r="V100" s="207">
        <f t="shared" si="8"/>
        <v>-4.5691707714504703E-3</v>
      </c>
      <c r="X100" s="204">
        <v>467.67123413085938</v>
      </c>
      <c r="Y100" s="207">
        <f t="shared" si="9"/>
        <v>3.528243365823247E-3</v>
      </c>
      <c r="AA100" s="204">
        <v>1319.934448242188</v>
      </c>
      <c r="AB100" s="207">
        <f t="shared" si="10"/>
        <v>2.0483189383553313E-3</v>
      </c>
      <c r="AC100" s="200"/>
    </row>
    <row r="101" spans="15:29" x14ac:dyDescent="0.3">
      <c r="O101" s="199"/>
      <c r="P101" s="202">
        <v>46027</v>
      </c>
      <c r="R101" s="204">
        <v>26250.30078125</v>
      </c>
      <c r="S101" s="207">
        <f t="shared" si="7"/>
        <v>2.7351077263884083E-3</v>
      </c>
      <c r="U101" s="204">
        <v>213.9100036621094</v>
      </c>
      <c r="V101" s="207">
        <f t="shared" si="8"/>
        <v>1.9203918599972614E-3</v>
      </c>
      <c r="X101" s="204">
        <v>474.04904174804688</v>
      </c>
      <c r="Y101" s="207">
        <f t="shared" si="9"/>
        <v>1.3637374188815166E-2</v>
      </c>
      <c r="AA101" s="204">
        <v>1335.622924804688</v>
      </c>
      <c r="AB101" s="207">
        <f t="shared" si="10"/>
        <v>1.1885799770884775E-2</v>
      </c>
      <c r="AC101" s="200"/>
    </row>
    <row r="102" spans="15:29" x14ac:dyDescent="0.3">
      <c r="O102" s="199"/>
      <c r="P102" s="202">
        <v>46024</v>
      </c>
      <c r="R102" s="204">
        <v>26328.55078125</v>
      </c>
      <c r="S102" s="207">
        <f t="shared" si="7"/>
        <v>2.9809182245976729E-3</v>
      </c>
      <c r="U102" s="204">
        <v>210.8800048828125</v>
      </c>
      <c r="V102" s="207">
        <f t="shared" si="8"/>
        <v>-1.4164829729436446E-2</v>
      </c>
      <c r="X102" s="204">
        <v>471.95632934570313</v>
      </c>
      <c r="Y102" s="207">
        <f t="shared" si="9"/>
        <v>-4.4145483231585736E-3</v>
      </c>
      <c r="AA102" s="204">
        <v>1320.234130859375</v>
      </c>
      <c r="AB102" s="207">
        <f t="shared" si="10"/>
        <v>-1.1521810280070821E-2</v>
      </c>
      <c r="AC102" s="200"/>
    </row>
    <row r="103" spans="15:29" x14ac:dyDescent="0.3">
      <c r="O103" s="199"/>
      <c r="P103" s="202">
        <v>46023</v>
      </c>
      <c r="R103" s="204">
        <v>26146.55078125</v>
      </c>
      <c r="S103" s="207">
        <f t="shared" si="7"/>
        <v>-6.9126478518374279E-3</v>
      </c>
      <c r="U103" s="204">
        <v>209.9100036621094</v>
      </c>
      <c r="V103" s="207">
        <f t="shared" si="8"/>
        <v>-4.5997780645070652E-3</v>
      </c>
      <c r="X103" s="204">
        <v>469.1162109375</v>
      </c>
      <c r="Y103" s="207">
        <f t="shared" si="9"/>
        <v>-6.0177567957199196E-3</v>
      </c>
      <c r="AA103" s="204">
        <v>1285.759399414062</v>
      </c>
      <c r="AB103" s="207">
        <f t="shared" si="10"/>
        <v>-2.6112589153313603E-2</v>
      </c>
      <c r="AC103" s="200"/>
    </row>
    <row r="104" spans="15:29" x14ac:dyDescent="0.3">
      <c r="O104" s="199"/>
      <c r="P104" s="202">
        <v>46022</v>
      </c>
      <c r="R104" s="204">
        <v>26129.599609375</v>
      </c>
      <c r="S104" s="207">
        <f t="shared" si="7"/>
        <v>-6.4831388341879403E-4</v>
      </c>
      <c r="U104" s="204">
        <v>193.69999694824219</v>
      </c>
      <c r="V104" s="207">
        <f t="shared" si="8"/>
        <v>-7.722360264430439E-2</v>
      </c>
      <c r="X104" s="204">
        <v>461.89138793945313</v>
      </c>
      <c r="Y104" s="207">
        <f t="shared" si="9"/>
        <v>-1.5400923757481144E-2</v>
      </c>
      <c r="AA104" s="204">
        <v>1284.860107421875</v>
      </c>
      <c r="AB104" s="207">
        <f t="shared" si="10"/>
        <v>-6.994247855367508E-4</v>
      </c>
      <c r="AC104" s="200"/>
    </row>
    <row r="105" spans="15:29" x14ac:dyDescent="0.3">
      <c r="O105" s="199"/>
      <c r="P105" s="202">
        <v>46021</v>
      </c>
      <c r="R105" s="204">
        <v>25938.849609375</v>
      </c>
      <c r="S105" s="207">
        <f t="shared" si="7"/>
        <v>-7.3001501305653971E-3</v>
      </c>
      <c r="U105" s="204">
        <v>190.58000183105469</v>
      </c>
      <c r="V105" s="207">
        <f t="shared" si="8"/>
        <v>-1.6107357595989913E-2</v>
      </c>
      <c r="X105" s="204">
        <v>467.92037963867188</v>
      </c>
      <c r="Y105" s="207">
        <f t="shared" si="9"/>
        <v>1.3052834187090356E-2</v>
      </c>
      <c r="AA105" s="204">
        <v>1272.369262695312</v>
      </c>
      <c r="AB105" s="207">
        <f t="shared" si="10"/>
        <v>-9.7215600783390199E-3</v>
      </c>
      <c r="AC105" s="200"/>
    </row>
    <row r="106" spans="15:29" x14ac:dyDescent="0.3">
      <c r="O106" s="199"/>
      <c r="P106" s="202">
        <v>46020</v>
      </c>
      <c r="R106" s="204">
        <v>25942.099609375</v>
      </c>
      <c r="S106" s="207">
        <f t="shared" si="7"/>
        <v>1.2529468534427934E-4</v>
      </c>
      <c r="U106" s="204">
        <v>189.4100036621094</v>
      </c>
      <c r="V106" s="207">
        <f t="shared" si="8"/>
        <v>-6.1391444941976125E-3</v>
      </c>
      <c r="X106" s="204">
        <v>468.71762084960938</v>
      </c>
      <c r="Y106" s="207">
        <f t="shared" si="9"/>
        <v>1.7037967261719356E-3</v>
      </c>
      <c r="AA106" s="204">
        <v>1267.87255859375</v>
      </c>
      <c r="AB106" s="207">
        <f t="shared" si="10"/>
        <v>-3.5341187762084614E-3</v>
      </c>
      <c r="AC106" s="200"/>
    </row>
    <row r="107" spans="15:29" x14ac:dyDescent="0.3">
      <c r="O107" s="199"/>
      <c r="P107" s="202">
        <v>46017</v>
      </c>
      <c r="R107" s="204">
        <v>26042.30078125</v>
      </c>
      <c r="S107" s="207">
        <f t="shared" si="7"/>
        <v>3.8624927582495694E-3</v>
      </c>
      <c r="U107" s="204">
        <v>189.86000061035159</v>
      </c>
      <c r="V107" s="207">
        <f t="shared" si="8"/>
        <v>2.3757823744354756E-3</v>
      </c>
      <c r="X107" s="204">
        <v>473.8995361328125</v>
      </c>
      <c r="Y107" s="207">
        <f t="shared" si="9"/>
        <v>1.1055516269711019E-2</v>
      </c>
      <c r="AA107" s="204">
        <v>1270.470581054688</v>
      </c>
      <c r="AB107" s="207">
        <f t="shared" si="10"/>
        <v>2.0491195612117874E-3</v>
      </c>
      <c r="AC107" s="200"/>
    </row>
    <row r="108" spans="15:29" x14ac:dyDescent="0.3">
      <c r="O108" s="199"/>
      <c r="P108" s="202">
        <v>46015</v>
      </c>
      <c r="R108" s="204">
        <v>26142.099609375</v>
      </c>
      <c r="S108" s="207">
        <f t="shared" si="7"/>
        <v>3.8321816863760017E-3</v>
      </c>
      <c r="U108" s="204">
        <v>192.9700012207031</v>
      </c>
      <c r="V108" s="207">
        <f t="shared" si="8"/>
        <v>1.6380494050108663E-2</v>
      </c>
      <c r="X108" s="204">
        <v>474.148681640625</v>
      </c>
      <c r="Y108" s="207">
        <f t="shared" si="9"/>
        <v>5.2573486322771146E-4</v>
      </c>
      <c r="AA108" s="204">
        <v>1291.355346679688</v>
      </c>
      <c r="AB108" s="207">
        <f t="shared" si="10"/>
        <v>1.6438606242784815E-2</v>
      </c>
      <c r="AC108" s="200"/>
    </row>
    <row r="109" spans="15:29" x14ac:dyDescent="0.3">
      <c r="O109" s="199"/>
      <c r="P109" s="202">
        <v>46014</v>
      </c>
      <c r="R109" s="204">
        <v>26177.150390625</v>
      </c>
      <c r="S109" s="207">
        <f t="shared" si="7"/>
        <v>1.3407791177351136E-3</v>
      </c>
      <c r="U109" s="204">
        <v>192.74000549316409</v>
      </c>
      <c r="V109" s="207">
        <f t="shared" si="8"/>
        <v>-1.1918729651452242E-3</v>
      </c>
      <c r="X109" s="204">
        <v>474.098876953125</v>
      </c>
      <c r="Y109" s="207">
        <f t="shared" si="9"/>
        <v>-1.0504023195356815E-4</v>
      </c>
      <c r="AA109" s="204">
        <v>1295.352416992188</v>
      </c>
      <c r="AB109" s="207">
        <f t="shared" si="10"/>
        <v>3.0952520720011201E-3</v>
      </c>
      <c r="AC109" s="200"/>
    </row>
    <row r="110" spans="15:29" x14ac:dyDescent="0.3">
      <c r="O110" s="199"/>
      <c r="P110" s="202">
        <v>46013</v>
      </c>
      <c r="R110" s="204">
        <v>26172.400390625</v>
      </c>
      <c r="S110" s="207">
        <f t="shared" si="7"/>
        <v>-1.8145596174978795E-4</v>
      </c>
      <c r="U110" s="204">
        <v>190.5299987792969</v>
      </c>
      <c r="V110" s="207">
        <f t="shared" si="8"/>
        <v>-1.1466258435618659E-2</v>
      </c>
      <c r="X110" s="204">
        <v>474.9459228515625</v>
      </c>
      <c r="Y110" s="207">
        <f t="shared" si="9"/>
        <v>1.7866439673537293E-3</v>
      </c>
      <c r="AA110" s="204">
        <v>1294.253173828125</v>
      </c>
      <c r="AB110" s="207">
        <f t="shared" si="10"/>
        <v>-8.4860548345244702E-4</v>
      </c>
      <c r="AC110" s="200"/>
    </row>
    <row r="111" spans="15:29" x14ac:dyDescent="0.3">
      <c r="O111" s="199"/>
      <c r="P111" s="202">
        <v>46010</v>
      </c>
      <c r="R111" s="204">
        <v>25966.400390625</v>
      </c>
      <c r="S111" s="207">
        <f t="shared" si="7"/>
        <v>-7.8708867710043373E-3</v>
      </c>
      <c r="U111" s="204">
        <v>193.53999328613281</v>
      </c>
      <c r="V111" s="207">
        <f t="shared" si="8"/>
        <v>1.5798008324781287E-2</v>
      </c>
      <c r="X111" s="204">
        <v>463.73495483398438</v>
      </c>
      <c r="Y111" s="207">
        <f t="shared" si="9"/>
        <v>-2.3604725250124803E-2</v>
      </c>
      <c r="AA111" s="204">
        <v>1266.873291015625</v>
      </c>
      <c r="AB111" s="207">
        <f t="shared" si="10"/>
        <v>-2.1154966714523216E-2</v>
      </c>
      <c r="AC111" s="200"/>
    </row>
    <row r="112" spans="15:29" x14ac:dyDescent="0.3">
      <c r="O112" s="199"/>
      <c r="P112" s="202">
        <v>46009</v>
      </c>
      <c r="R112" s="204">
        <v>25815.55078125</v>
      </c>
      <c r="S112" s="207">
        <f t="shared" si="7"/>
        <v>-5.8094155179654328E-3</v>
      </c>
      <c r="U112" s="204">
        <v>189.86000061035159</v>
      </c>
      <c r="V112" s="207">
        <f t="shared" si="8"/>
        <v>-1.9014120096308207E-2</v>
      </c>
      <c r="X112" s="204">
        <v>461.49276733398438</v>
      </c>
      <c r="Y112" s="207">
        <f t="shared" si="9"/>
        <v>-4.8350625214411691E-3</v>
      </c>
      <c r="AA112" s="204">
        <v>1225.703369140625</v>
      </c>
      <c r="AB112" s="207">
        <f t="shared" si="10"/>
        <v>-3.2497268801045531E-2</v>
      </c>
      <c r="AC112" s="200"/>
    </row>
    <row r="113" spans="15:29" x14ac:dyDescent="0.3">
      <c r="O113" s="199"/>
      <c r="P113" s="202">
        <v>46008</v>
      </c>
      <c r="R113" s="204">
        <v>25818.55078125</v>
      </c>
      <c r="S113" s="207">
        <f t="shared" si="7"/>
        <v>1.1620902553732826E-4</v>
      </c>
      <c r="U113" s="204">
        <v>193.1000061035156</v>
      </c>
      <c r="V113" s="207">
        <f t="shared" si="8"/>
        <v>1.7065234819067854E-2</v>
      </c>
      <c r="X113" s="204">
        <v>467.7210693359375</v>
      </c>
      <c r="Y113" s="207">
        <f t="shared" si="9"/>
        <v>1.3495990496088739E-2</v>
      </c>
      <c r="AA113" s="204">
        <v>1247.88720703125</v>
      </c>
      <c r="AB113" s="207">
        <f t="shared" si="10"/>
        <v>1.8098863435595192E-2</v>
      </c>
      <c r="AC113" s="200"/>
    </row>
    <row r="114" spans="15:29" x14ac:dyDescent="0.3">
      <c r="O114" s="199"/>
      <c r="P114" s="202">
        <v>46007</v>
      </c>
      <c r="R114" s="204">
        <v>25860.099609375</v>
      </c>
      <c r="S114" s="207">
        <f t="shared" si="7"/>
        <v>1.6092625987038645E-3</v>
      </c>
      <c r="U114" s="204">
        <v>192.6300048828125</v>
      </c>
      <c r="V114" s="207">
        <f t="shared" si="8"/>
        <v>-2.4339782798926679E-3</v>
      </c>
      <c r="X114" s="204">
        <v>458.70248413085938</v>
      </c>
      <c r="Y114" s="207">
        <f t="shared" si="9"/>
        <v>-1.9281973373323935E-2</v>
      </c>
      <c r="AA114" s="204">
        <v>1256.081176757812</v>
      </c>
      <c r="AB114" s="207">
        <f t="shared" si="10"/>
        <v>6.5662743238275034E-3</v>
      </c>
      <c r="AC114" s="200"/>
    </row>
    <row r="115" spans="15:29" x14ac:dyDescent="0.3">
      <c r="O115" s="199"/>
      <c r="P115" s="202">
        <v>46006</v>
      </c>
      <c r="R115" s="204">
        <v>26027.30078125</v>
      </c>
      <c r="S115" s="207">
        <f t="shared" si="7"/>
        <v>6.4656043248334516E-3</v>
      </c>
      <c r="U115" s="204">
        <v>191.1499938964844</v>
      </c>
      <c r="V115" s="207">
        <f t="shared" si="8"/>
        <v>-7.6831799242722543E-3</v>
      </c>
      <c r="X115" s="204">
        <v>450.23196411132813</v>
      </c>
      <c r="Y115" s="207">
        <f t="shared" si="9"/>
        <v>-1.8466261493178981E-2</v>
      </c>
      <c r="AA115" s="204">
        <v>1238.494018554688</v>
      </c>
      <c r="AB115" s="207">
        <f t="shared" si="10"/>
        <v>-1.4001609552433458E-2</v>
      </c>
      <c r="AC115" s="200"/>
    </row>
    <row r="116" spans="15:29" x14ac:dyDescent="0.3">
      <c r="O116" s="199"/>
      <c r="P116" s="202">
        <v>46003</v>
      </c>
      <c r="R116" s="204">
        <v>26046.94921875</v>
      </c>
      <c r="S116" s="207">
        <f t="shared" si="7"/>
        <v>7.5491644965941518E-4</v>
      </c>
      <c r="U116" s="204">
        <v>188.57000732421881</v>
      </c>
      <c r="V116" s="207">
        <f t="shared" si="8"/>
        <v>-1.3497183649729849E-2</v>
      </c>
      <c r="X116" s="204">
        <v>443.15664672851563</v>
      </c>
      <c r="Y116" s="207">
        <f t="shared" si="9"/>
        <v>-1.5714826904344337E-2</v>
      </c>
      <c r="AA116" s="204">
        <v>1247.187622070312</v>
      </c>
      <c r="AB116" s="207">
        <f t="shared" si="10"/>
        <v>7.0194957629019505E-3</v>
      </c>
      <c r="AC116" s="200"/>
    </row>
    <row r="117" spans="15:29" x14ac:dyDescent="0.3">
      <c r="O117" s="199"/>
      <c r="P117" s="202">
        <v>46002</v>
      </c>
      <c r="R117" s="204">
        <v>25898.55078125</v>
      </c>
      <c r="S117" s="207">
        <f t="shared" si="7"/>
        <v>-5.6973442937100494E-3</v>
      </c>
      <c r="U117" s="204">
        <v>188.5</v>
      </c>
      <c r="V117" s="207">
        <f t="shared" si="8"/>
        <v>-3.7125375987523412E-4</v>
      </c>
      <c r="X117" s="204">
        <v>451.72677612304688</v>
      </c>
      <c r="Y117" s="207">
        <f t="shared" si="9"/>
        <v>1.933882625432326E-2</v>
      </c>
      <c r="AA117" s="204">
        <v>1233.997314453125</v>
      </c>
      <c r="AB117" s="207">
        <f t="shared" si="10"/>
        <v>-1.0576041153528615E-2</v>
      </c>
      <c r="AC117" s="200"/>
    </row>
    <row r="118" spans="15:29" x14ac:dyDescent="0.3">
      <c r="O118" s="199"/>
      <c r="P118" s="202">
        <v>46001</v>
      </c>
      <c r="R118" s="204">
        <v>25758</v>
      </c>
      <c r="S118" s="207">
        <f t="shared" si="7"/>
        <v>-5.4269747538057134E-3</v>
      </c>
      <c r="U118" s="204">
        <v>185.69999694824219</v>
      </c>
      <c r="V118" s="207">
        <f t="shared" si="8"/>
        <v>-1.4854127595532174E-2</v>
      </c>
      <c r="X118" s="204">
        <v>452.82296752929688</v>
      </c>
      <c r="Y118" s="207">
        <f t="shared" si="9"/>
        <v>2.4266690933356649E-3</v>
      </c>
      <c r="AA118" s="204">
        <v>1222.405883789062</v>
      </c>
      <c r="AB118" s="207">
        <f t="shared" si="10"/>
        <v>-9.3934002353968094E-3</v>
      </c>
      <c r="AC118" s="200"/>
    </row>
    <row r="119" spans="15:29" x14ac:dyDescent="0.3">
      <c r="O119" s="199"/>
      <c r="P119" s="202">
        <v>46000</v>
      </c>
      <c r="R119" s="204">
        <v>25839.650390625</v>
      </c>
      <c r="S119" s="207">
        <f t="shared" si="7"/>
        <v>3.1699041317261312E-3</v>
      </c>
      <c r="U119" s="204">
        <v>184.6600036621094</v>
      </c>
      <c r="V119" s="207">
        <f t="shared" si="8"/>
        <v>-5.600394740031378E-3</v>
      </c>
      <c r="X119" s="204">
        <v>457.50665283203119</v>
      </c>
      <c r="Y119" s="207">
        <f t="shared" si="9"/>
        <v>1.0343303318490094E-2</v>
      </c>
      <c r="AA119" s="204">
        <v>1230.799560546875</v>
      </c>
      <c r="AB119" s="207">
        <f t="shared" si="10"/>
        <v>6.8665218886179158E-3</v>
      </c>
      <c r="AC119" s="200"/>
    </row>
    <row r="120" spans="15:29" x14ac:dyDescent="0.3">
      <c r="O120" s="199"/>
      <c r="P120" s="202">
        <v>45999</v>
      </c>
      <c r="R120" s="204">
        <v>25960.55078125</v>
      </c>
      <c r="S120" s="207">
        <f t="shared" si="7"/>
        <v>4.6788709907956694E-3</v>
      </c>
      <c r="U120" s="204">
        <v>189.52000427246091</v>
      </c>
      <c r="V120" s="207">
        <f t="shared" si="8"/>
        <v>2.6318642445411822E-2</v>
      </c>
      <c r="X120" s="204">
        <v>446.34552001953119</v>
      </c>
      <c r="Y120" s="207">
        <f t="shared" si="9"/>
        <v>-2.4395563962646194E-2</v>
      </c>
      <c r="AA120" s="204">
        <v>1257.2802734375</v>
      </c>
      <c r="AB120" s="207">
        <f t="shared" si="10"/>
        <v>2.1515049029477096E-2</v>
      </c>
      <c r="AC120" s="200"/>
    </row>
    <row r="121" spans="15:29" x14ac:dyDescent="0.3">
      <c r="O121" s="199"/>
      <c r="P121" s="202">
        <v>45996</v>
      </c>
      <c r="R121" s="204">
        <v>26186.44921875</v>
      </c>
      <c r="S121" s="207">
        <f t="shared" si="7"/>
        <v>8.7016041918168696E-3</v>
      </c>
      <c r="U121" s="204">
        <v>191.6600036621094</v>
      </c>
      <c r="V121" s="207">
        <f t="shared" si="8"/>
        <v>1.1291680779892621E-2</v>
      </c>
      <c r="X121" s="204">
        <v>457.7059326171875</v>
      </c>
      <c r="Y121" s="207">
        <f t="shared" si="9"/>
        <v>2.5452059196559684E-2</v>
      </c>
      <c r="AA121" s="204">
        <v>1271.469970703125</v>
      </c>
      <c r="AB121" s="207">
        <f t="shared" si="10"/>
        <v>1.1286025530989452E-2</v>
      </c>
      <c r="AC121" s="200"/>
    </row>
    <row r="122" spans="15:29" x14ac:dyDescent="0.3">
      <c r="O122" s="199"/>
      <c r="P122" s="202">
        <v>45995</v>
      </c>
      <c r="R122" s="204">
        <v>26033.75</v>
      </c>
      <c r="S122" s="207">
        <f t="shared" si="7"/>
        <v>-5.8312303999071835E-3</v>
      </c>
      <c r="U122" s="204">
        <v>194.55000305175781</v>
      </c>
      <c r="V122" s="207">
        <f t="shared" si="8"/>
        <v>1.5078781876386671E-2</v>
      </c>
      <c r="X122" s="204">
        <v>458.10458374023438</v>
      </c>
      <c r="Y122" s="207">
        <f t="shared" si="9"/>
        <v>8.709765258392288E-4</v>
      </c>
      <c r="AA122" s="204">
        <v>1270.970336914062</v>
      </c>
      <c r="AB122" s="207">
        <f t="shared" si="10"/>
        <v>-3.9295760071045294E-4</v>
      </c>
      <c r="AC122" s="200"/>
    </row>
    <row r="123" spans="15:29" x14ac:dyDescent="0.3">
      <c r="O123" s="199"/>
      <c r="P123" s="202">
        <v>45994</v>
      </c>
      <c r="R123" s="204">
        <v>25986</v>
      </c>
      <c r="S123" s="207">
        <f t="shared" si="7"/>
        <v>-1.8341575839054824E-3</v>
      </c>
      <c r="U123" s="204">
        <v>193.99000549316409</v>
      </c>
      <c r="V123" s="207">
        <f t="shared" si="8"/>
        <v>-2.8784248255433464E-3</v>
      </c>
      <c r="X123" s="204">
        <v>465.42904663085938</v>
      </c>
      <c r="Y123" s="207">
        <f t="shared" si="9"/>
        <v>1.5988626070544409E-2</v>
      </c>
      <c r="AA123" s="204">
        <v>1265.973876953125</v>
      </c>
      <c r="AB123" s="207">
        <f t="shared" si="10"/>
        <v>-3.9312168158609495E-3</v>
      </c>
      <c r="AC123" s="200"/>
    </row>
    <row r="124" spans="15:29" x14ac:dyDescent="0.3">
      <c r="O124" s="199"/>
      <c r="P124" s="202">
        <v>45993</v>
      </c>
      <c r="R124" s="204">
        <v>26032.19921875</v>
      </c>
      <c r="S124" s="207">
        <f t="shared" si="7"/>
        <v>1.7778503328715889E-3</v>
      </c>
      <c r="U124" s="204">
        <v>196.92999267578119</v>
      </c>
      <c r="V124" s="207">
        <f t="shared" si="8"/>
        <v>1.5155353880953903E-2</v>
      </c>
      <c r="X124" s="204">
        <v>469.1162109375</v>
      </c>
      <c r="Y124" s="207">
        <f t="shared" si="9"/>
        <v>7.9220760572018545E-3</v>
      </c>
      <c r="AA124" s="204">
        <v>1293.453857421875</v>
      </c>
      <c r="AB124" s="207">
        <f t="shared" si="10"/>
        <v>2.1706593610673286E-2</v>
      </c>
      <c r="AC124" s="200"/>
    </row>
    <row r="125" spans="15:29" x14ac:dyDescent="0.3">
      <c r="O125" s="199"/>
      <c r="P125" s="202">
        <v>45992</v>
      </c>
      <c r="R125" s="204">
        <v>26175.75</v>
      </c>
      <c r="S125" s="207">
        <f t="shared" si="7"/>
        <v>5.514354743667127E-3</v>
      </c>
      <c r="U125" s="204">
        <v>194.6300048828125</v>
      </c>
      <c r="V125" s="207">
        <f t="shared" si="8"/>
        <v>-1.167921534814309E-2</v>
      </c>
      <c r="X125" s="204">
        <v>457.00839233398438</v>
      </c>
      <c r="Y125" s="207">
        <f t="shared" si="9"/>
        <v>-2.5809849076242508E-2</v>
      </c>
      <c r="AA125" s="204">
        <v>1308.14306640625</v>
      </c>
      <c r="AB125" s="207">
        <f t="shared" si="10"/>
        <v>1.1356577507645849E-2</v>
      </c>
      <c r="AC125" s="200"/>
    </row>
    <row r="126" spans="15:29" x14ac:dyDescent="0.3">
      <c r="O126" s="199"/>
      <c r="P126" s="202">
        <v>45989</v>
      </c>
      <c r="R126" s="204">
        <v>26202.94921875</v>
      </c>
      <c r="S126" s="207">
        <f t="shared" si="7"/>
        <v>1.0390998825249298E-3</v>
      </c>
      <c r="U126" s="204">
        <v>190.2799987792969</v>
      </c>
      <c r="V126" s="207">
        <f t="shared" si="8"/>
        <v>-2.2350130988974426E-2</v>
      </c>
      <c r="X126" s="204">
        <v>472.90301513671881</v>
      </c>
      <c r="Y126" s="207">
        <f t="shared" si="9"/>
        <v>3.4779717548640843E-2</v>
      </c>
      <c r="AA126" s="204">
        <v>1305.844848632812</v>
      </c>
      <c r="AB126" s="207">
        <f t="shared" si="10"/>
        <v>-1.7568550661294369E-3</v>
      </c>
      <c r="AC126" s="200"/>
    </row>
    <row r="127" spans="15:29" x14ac:dyDescent="0.3">
      <c r="O127" s="199"/>
      <c r="P127" s="202">
        <v>45988</v>
      </c>
      <c r="R127" s="204">
        <v>26215.55078125</v>
      </c>
      <c r="S127" s="207">
        <f t="shared" si="7"/>
        <v>4.8092153271750426E-4</v>
      </c>
      <c r="U127" s="204">
        <v>192.72999572753909</v>
      </c>
      <c r="V127" s="207">
        <f t="shared" si="8"/>
        <v>1.2875746079249684E-2</v>
      </c>
      <c r="X127" s="204">
        <v>450.18215942382813</v>
      </c>
      <c r="Y127" s="207">
        <f t="shared" si="9"/>
        <v>-4.804548709912948E-2</v>
      </c>
      <c r="AA127" s="204">
        <v>1311.440673828125</v>
      </c>
      <c r="AB127" s="207">
        <f t="shared" si="10"/>
        <v>4.2852144350622456E-3</v>
      </c>
      <c r="AC127" s="200"/>
    </row>
    <row r="128" spans="15:29" x14ac:dyDescent="0.3">
      <c r="O128" s="199"/>
      <c r="P128" s="202">
        <v>45987</v>
      </c>
      <c r="R128" s="204">
        <v>26205.30078125</v>
      </c>
      <c r="S128" s="207">
        <f t="shared" si="7"/>
        <v>-3.9098930575709456E-4</v>
      </c>
      <c r="U128" s="204">
        <v>194.22999572753909</v>
      </c>
      <c r="V128" s="207">
        <f t="shared" si="8"/>
        <v>7.7829089049559208E-3</v>
      </c>
      <c r="X128" s="204">
        <v>458.35369873046881</v>
      </c>
      <c r="Y128" s="207">
        <f t="shared" si="9"/>
        <v>1.8151628481011262E-2</v>
      </c>
      <c r="AA128" s="204">
        <v>1319.135009765625</v>
      </c>
      <c r="AB128" s="207">
        <f t="shared" si="10"/>
        <v>5.867086549206979E-3</v>
      </c>
      <c r="AC128" s="200"/>
    </row>
    <row r="129" spans="15:29" x14ac:dyDescent="0.3">
      <c r="O129" s="199"/>
      <c r="P129" s="202">
        <v>45986</v>
      </c>
      <c r="R129" s="204">
        <v>25884.80078125</v>
      </c>
      <c r="S129" s="207">
        <f t="shared" si="7"/>
        <v>-1.2230349984355793E-2</v>
      </c>
      <c r="U129" s="204">
        <v>193.0299987792969</v>
      </c>
      <c r="V129" s="207">
        <f t="shared" si="8"/>
        <v>-6.1782267138877911E-3</v>
      </c>
      <c r="X129" s="204">
        <v>449.18563842773438</v>
      </c>
      <c r="Y129" s="207">
        <f t="shared" si="9"/>
        <v>-2.0002151893020126E-2</v>
      </c>
      <c r="AA129" s="204">
        <v>1284.360473632812</v>
      </c>
      <c r="AB129" s="207">
        <f t="shared" si="10"/>
        <v>-2.6361620209739867E-2</v>
      </c>
      <c r="AC129" s="200"/>
    </row>
    <row r="130" spans="15:29" x14ac:dyDescent="0.3">
      <c r="O130" s="199"/>
      <c r="P130" s="202">
        <v>45985</v>
      </c>
      <c r="R130" s="204">
        <v>25959.5</v>
      </c>
      <c r="S130" s="207">
        <f t="shared" si="7"/>
        <v>2.8858332494530181E-3</v>
      </c>
      <c r="U130" s="204">
        <v>193.91999816894531</v>
      </c>
      <c r="V130" s="207">
        <f t="shared" si="8"/>
        <v>4.6106791445716944E-3</v>
      </c>
      <c r="X130" s="204">
        <v>450.48110961914063</v>
      </c>
      <c r="Y130" s="207">
        <f t="shared" si="9"/>
        <v>2.8840441024355901E-3</v>
      </c>
      <c r="AA130" s="204">
        <v>1278.564697265625</v>
      </c>
      <c r="AB130" s="207">
        <f t="shared" si="10"/>
        <v>-4.5125776494769898E-3</v>
      </c>
      <c r="AC130" s="200"/>
    </row>
    <row r="131" spans="15:29" x14ac:dyDescent="0.3">
      <c r="O131" s="199"/>
      <c r="P131" s="202">
        <v>45982</v>
      </c>
      <c r="R131" s="204">
        <v>26068.150390625</v>
      </c>
      <c r="S131" s="207">
        <f t="shared" si="7"/>
        <v>4.1853807132263832E-3</v>
      </c>
      <c r="U131" s="204">
        <v>197.96000671386719</v>
      </c>
      <c r="V131" s="207">
        <f t="shared" si="8"/>
        <v>2.0833377594208669E-2</v>
      </c>
      <c r="X131" s="204">
        <v>450.08248901367188</v>
      </c>
      <c r="Y131" s="207">
        <f t="shared" si="9"/>
        <v>-8.8487751640853318E-4</v>
      </c>
      <c r="AA131" s="204">
        <v>1280.46337890625</v>
      </c>
      <c r="AB131" s="207">
        <f t="shared" si="10"/>
        <v>1.4850102186345637E-3</v>
      </c>
      <c r="AC131" s="200"/>
    </row>
    <row r="132" spans="15:29" x14ac:dyDescent="0.3">
      <c r="O132" s="199"/>
      <c r="P132" s="202">
        <v>45981</v>
      </c>
      <c r="R132" s="204">
        <v>26192.150390625</v>
      </c>
      <c r="S132" s="207">
        <f t="shared" si="7"/>
        <v>4.7567624914652828E-3</v>
      </c>
      <c r="U132" s="204">
        <v>201.2200012207031</v>
      </c>
      <c r="V132" s="207">
        <f t="shared" si="8"/>
        <v>1.6467945020571362E-2</v>
      </c>
      <c r="X132" s="204">
        <v>465.87750244140619</v>
      </c>
      <c r="Y132" s="207">
        <f t="shared" si="9"/>
        <v>3.5093596870094057E-2</v>
      </c>
      <c r="AA132" s="204">
        <v>1297.051147460938</v>
      </c>
      <c r="AB132" s="207">
        <f t="shared" si="10"/>
        <v>1.2954504461390348E-2</v>
      </c>
      <c r="AC132" s="200"/>
    </row>
    <row r="133" spans="15:29" x14ac:dyDescent="0.3">
      <c r="O133" s="199"/>
      <c r="P133" s="202">
        <v>45980</v>
      </c>
      <c r="R133" s="204">
        <v>26052.650390625</v>
      </c>
      <c r="S133" s="207">
        <f t="shared" si="7"/>
        <v>-5.3260231756279142E-3</v>
      </c>
      <c r="U133" s="204">
        <v>202.61000061035159</v>
      </c>
      <c r="V133" s="207">
        <f t="shared" si="8"/>
        <v>6.9078589663853496E-3</v>
      </c>
      <c r="X133" s="204">
        <v>463.88442993164063</v>
      </c>
      <c r="Y133" s="207">
        <f t="shared" si="9"/>
        <v>-4.2781042212191034E-3</v>
      </c>
      <c r="AA133" s="204">
        <v>1304.14599609375</v>
      </c>
      <c r="AB133" s="207">
        <f t="shared" si="10"/>
        <v>5.4699836985616646E-3</v>
      </c>
      <c r="AC133" s="200"/>
    </row>
    <row r="134" spans="15:29" x14ac:dyDescent="0.3">
      <c r="O134" s="199"/>
      <c r="P134" s="202">
        <v>45979</v>
      </c>
      <c r="R134" s="204">
        <v>25910.05078125</v>
      </c>
      <c r="S134" s="207">
        <f t="shared" si="7"/>
        <v>-5.4735164076171738E-3</v>
      </c>
      <c r="U134" s="204">
        <v>205.69999694824219</v>
      </c>
      <c r="V134" s="207">
        <f t="shared" si="8"/>
        <v>1.5250956658517056E-2</v>
      </c>
      <c r="X134" s="204">
        <v>468.46847534179688</v>
      </c>
      <c r="Y134" s="207">
        <f t="shared" si="9"/>
        <v>9.8818695226130515E-3</v>
      </c>
      <c r="AA134" s="204">
        <v>1291.355346679688</v>
      </c>
      <c r="AB134" s="207">
        <f t="shared" si="10"/>
        <v>-9.807682155505093E-3</v>
      </c>
      <c r="AC134" s="200"/>
    </row>
    <row r="135" spans="15:29" x14ac:dyDescent="0.3">
      <c r="O135" s="199"/>
      <c r="P135" s="202">
        <v>45978</v>
      </c>
      <c r="R135" s="204">
        <v>26013.44921875</v>
      </c>
      <c r="S135" s="207">
        <f t="shared" si="7"/>
        <v>3.9906690408659795E-3</v>
      </c>
      <c r="U135" s="204">
        <v>205.99000549316409</v>
      </c>
      <c r="V135" s="207">
        <f t="shared" si="8"/>
        <v>1.4098616880138248E-3</v>
      </c>
      <c r="X135" s="204">
        <v>467.77090454101563</v>
      </c>
      <c r="Y135" s="207">
        <f t="shared" si="9"/>
        <v>-1.4890453413589633E-3</v>
      </c>
      <c r="AA135" s="204">
        <v>1298.949829101562</v>
      </c>
      <c r="AB135" s="207">
        <f t="shared" si="10"/>
        <v>5.8810167483340781E-3</v>
      </c>
      <c r="AC135" s="200"/>
    </row>
    <row r="136" spans="15:29" x14ac:dyDescent="0.3">
      <c r="O136" s="199"/>
      <c r="P136" s="202">
        <v>45975</v>
      </c>
      <c r="R136" s="204">
        <v>25910.05078125</v>
      </c>
      <c r="S136" s="207">
        <f t="shared" ref="S136:S199" si="11">IFERROR(R136/R135-1,0)</f>
        <v>-3.9748069020186794E-3</v>
      </c>
      <c r="U136" s="204">
        <v>207.22999572753909</v>
      </c>
      <c r="V136" s="207">
        <f t="shared" ref="V136:V199" si="12">IFERROR(U136/U135-1,0)</f>
        <v>6.0196621258701288E-3</v>
      </c>
      <c r="X136" s="204">
        <v>458.65264892578119</v>
      </c>
      <c r="Y136" s="207">
        <f t="shared" ref="Y136:Y199" si="13">IFERROR(X136/X135-1,0)</f>
        <v>-1.9492994384038065E-2</v>
      </c>
      <c r="AA136" s="204">
        <v>1306.244384765625</v>
      </c>
      <c r="AB136" s="207">
        <f t="shared" ref="AB136:AB199" si="14">IFERROR(AA136/AA135-1,0)</f>
        <v>5.6157331874076011E-3</v>
      </c>
      <c r="AC136" s="200"/>
    </row>
    <row r="137" spans="15:29" x14ac:dyDescent="0.3">
      <c r="O137" s="199"/>
      <c r="P137" s="202">
        <v>45974</v>
      </c>
      <c r="R137" s="204">
        <v>25879.150390625</v>
      </c>
      <c r="S137" s="207">
        <f t="shared" si="11"/>
        <v>-1.1926024725262829E-3</v>
      </c>
      <c r="U137" s="204">
        <v>215.36000061035159</v>
      </c>
      <c r="V137" s="207">
        <f t="shared" si="12"/>
        <v>3.9231795832788796E-2</v>
      </c>
      <c r="X137" s="204">
        <v>452.872802734375</v>
      </c>
      <c r="Y137" s="207">
        <f t="shared" si="13"/>
        <v>-1.2601793982752074E-2</v>
      </c>
      <c r="AA137" s="204">
        <v>1302.247314453125</v>
      </c>
      <c r="AB137" s="207">
        <f t="shared" si="14"/>
        <v>-3.0599712880046148E-3</v>
      </c>
      <c r="AC137" s="200"/>
    </row>
    <row r="138" spans="15:29" x14ac:dyDescent="0.3">
      <c r="O138" s="199"/>
      <c r="P138" s="202">
        <v>45973</v>
      </c>
      <c r="R138" s="204">
        <v>25875.80078125</v>
      </c>
      <c r="S138" s="207">
        <f t="shared" si="11"/>
        <v>-1.2943274120058579E-4</v>
      </c>
      <c r="U138" s="204">
        <v>213.82000732421881</v>
      </c>
      <c r="V138" s="207">
        <f t="shared" si="12"/>
        <v>-7.1507860409003587E-3</v>
      </c>
      <c r="X138" s="204">
        <v>450.28182983398438</v>
      </c>
      <c r="Y138" s="207">
        <f t="shared" si="13"/>
        <v>-5.7211934228479366E-3</v>
      </c>
      <c r="AA138" s="204">
        <v>1331.925659179688</v>
      </c>
      <c r="AB138" s="207">
        <f t="shared" si="14"/>
        <v>2.2790098621955135E-2</v>
      </c>
      <c r="AC138" s="200"/>
    </row>
    <row r="139" spans="15:29" x14ac:dyDescent="0.3">
      <c r="O139" s="199"/>
      <c r="P139" s="202">
        <v>45972</v>
      </c>
      <c r="R139" s="204">
        <v>25694.94921875</v>
      </c>
      <c r="S139" s="207">
        <f t="shared" si="11"/>
        <v>-6.9892160644182688E-3</v>
      </c>
      <c r="U139" s="204">
        <v>218.4700012207031</v>
      </c>
      <c r="V139" s="207">
        <f t="shared" si="12"/>
        <v>2.1747234763833001E-2</v>
      </c>
      <c r="X139" s="204">
        <v>447.0430908203125</v>
      </c>
      <c r="Y139" s="207">
        <f t="shared" si="13"/>
        <v>-7.1926931070391831E-3</v>
      </c>
      <c r="AA139" s="204">
        <v>1310.1416015625</v>
      </c>
      <c r="AB139" s="207">
        <f t="shared" si="14"/>
        <v>-1.6355310423709746E-2</v>
      </c>
      <c r="AC139" s="200"/>
    </row>
    <row r="140" spans="15:29" x14ac:dyDescent="0.3">
      <c r="O140" s="199"/>
      <c r="P140" s="202">
        <v>45971</v>
      </c>
      <c r="R140" s="204">
        <v>25574.349609375</v>
      </c>
      <c r="S140" s="207">
        <f t="shared" si="11"/>
        <v>-4.6935142135636765E-3</v>
      </c>
      <c r="U140" s="204">
        <v>221.53999328613281</v>
      </c>
      <c r="V140" s="207">
        <f t="shared" si="12"/>
        <v>1.4052236225917003E-2</v>
      </c>
      <c r="X140" s="204">
        <v>432.24462890625</v>
      </c>
      <c r="Y140" s="207">
        <f t="shared" si="13"/>
        <v>-3.3102987649149651E-2</v>
      </c>
      <c r="AA140" s="204">
        <v>1318.335693359375</v>
      </c>
      <c r="AB140" s="207">
        <f t="shared" si="14"/>
        <v>6.2543558552010659E-3</v>
      </c>
      <c r="AC140" s="200"/>
    </row>
    <row r="141" spans="15:29" x14ac:dyDescent="0.3">
      <c r="O141" s="199"/>
      <c r="P141" s="202">
        <v>45968</v>
      </c>
      <c r="R141" s="204">
        <v>25492.30078125</v>
      </c>
      <c r="S141" s="207">
        <f t="shared" si="11"/>
        <v>-3.2082469106046174E-3</v>
      </c>
      <c r="U141" s="204">
        <v>218.80000305175781</v>
      </c>
      <c r="V141" s="207">
        <f t="shared" si="12"/>
        <v>-1.2367925961052739E-2</v>
      </c>
      <c r="X141" s="204">
        <v>433.98855590820313</v>
      </c>
      <c r="Y141" s="207">
        <f t="shared" si="13"/>
        <v>4.0345833940516052E-3</v>
      </c>
      <c r="AA141" s="204">
        <v>1228.801025390625</v>
      </c>
      <c r="AB141" s="207">
        <f t="shared" si="14"/>
        <v>-6.7914923656961945E-2</v>
      </c>
      <c r="AC141" s="200"/>
    </row>
    <row r="142" spans="15:29" x14ac:dyDescent="0.3">
      <c r="O142" s="199"/>
      <c r="P142" s="202">
        <v>45967</v>
      </c>
      <c r="R142" s="204">
        <v>25509.69921875</v>
      </c>
      <c r="S142" s="207">
        <f t="shared" si="11"/>
        <v>6.8249773330775199E-4</v>
      </c>
      <c r="U142" s="204">
        <v>220.6600036621094</v>
      </c>
      <c r="V142" s="207">
        <f t="shared" si="12"/>
        <v>8.5009167477552161E-3</v>
      </c>
      <c r="X142" s="204">
        <v>434.68612670898438</v>
      </c>
      <c r="Y142" s="207">
        <f t="shared" si="13"/>
        <v>1.6073483765521868E-3</v>
      </c>
      <c r="AA142" s="204">
        <v>1232.898193359375</v>
      </c>
      <c r="AB142" s="207">
        <f t="shared" si="14"/>
        <v>3.3342810463943273E-3</v>
      </c>
      <c r="AC142" s="200"/>
    </row>
    <row r="143" spans="15:29" x14ac:dyDescent="0.3">
      <c r="O143" s="199"/>
      <c r="P143" s="202">
        <v>45965</v>
      </c>
      <c r="R143" s="204">
        <v>25597.650390625</v>
      </c>
      <c r="S143" s="207">
        <f t="shared" si="11"/>
        <v>3.4477541707098602E-3</v>
      </c>
      <c r="U143" s="204">
        <v>226.44999694824219</v>
      </c>
      <c r="V143" s="207">
        <f t="shared" si="12"/>
        <v>2.6239432566124821E-2</v>
      </c>
      <c r="X143" s="204">
        <v>443.6549072265625</v>
      </c>
      <c r="Y143" s="207">
        <f t="shared" si="13"/>
        <v>2.0632773779740488E-2</v>
      </c>
      <c r="AA143" s="204">
        <v>1251.084838867188</v>
      </c>
      <c r="AB143" s="207">
        <f t="shared" si="14"/>
        <v>1.4751133228817936E-2</v>
      </c>
      <c r="AC143" s="200"/>
    </row>
    <row r="144" spans="15:29" x14ac:dyDescent="0.3">
      <c r="O144" s="199"/>
      <c r="P144" s="202">
        <v>45964</v>
      </c>
      <c r="R144" s="204">
        <v>25763.349609375</v>
      </c>
      <c r="S144" s="207">
        <f t="shared" si="11"/>
        <v>6.4732198550021547E-3</v>
      </c>
      <c r="U144" s="204">
        <v>230.1000061035156</v>
      </c>
      <c r="V144" s="207">
        <f t="shared" si="12"/>
        <v>1.6118389068062733E-2</v>
      </c>
      <c r="X144" s="204">
        <v>454.91567993164063</v>
      </c>
      <c r="Y144" s="207">
        <f t="shared" si="13"/>
        <v>2.5381828357254221E-2</v>
      </c>
      <c r="AA144" s="204">
        <v>1263.675537109375</v>
      </c>
      <c r="AB144" s="207">
        <f t="shared" si="14"/>
        <v>1.0063824491380879E-2</v>
      </c>
      <c r="AC144" s="200"/>
    </row>
    <row r="145" spans="15:29" x14ac:dyDescent="0.3">
      <c r="O145" s="199"/>
      <c r="P145" s="202">
        <v>45961</v>
      </c>
      <c r="R145" s="204">
        <v>25722.099609375</v>
      </c>
      <c r="S145" s="207">
        <f t="shared" si="11"/>
        <v>-1.6011116809512282E-3</v>
      </c>
      <c r="U145" s="204">
        <v>222.55000305175781</v>
      </c>
      <c r="V145" s="207">
        <f t="shared" si="12"/>
        <v>-3.2811833339809859E-2</v>
      </c>
      <c r="X145" s="204">
        <v>445.00018310546881</v>
      </c>
      <c r="Y145" s="207">
        <f t="shared" si="13"/>
        <v>-2.1796339989120228E-2</v>
      </c>
      <c r="AA145" s="204">
        <v>1234.296997070312</v>
      </c>
      <c r="AB145" s="207">
        <f t="shared" si="14"/>
        <v>-2.3248483630747163E-2</v>
      </c>
      <c r="AC145" s="200"/>
    </row>
    <row r="146" spans="15:29" x14ac:dyDescent="0.3">
      <c r="O146" s="199"/>
      <c r="P146" s="202">
        <v>45960</v>
      </c>
      <c r="R146" s="204">
        <v>25877.849609375</v>
      </c>
      <c r="S146" s="207">
        <f t="shared" si="11"/>
        <v>6.055104457461713E-3</v>
      </c>
      <c r="U146" s="204">
        <v>226.97999572753909</v>
      </c>
      <c r="V146" s="207">
        <f t="shared" si="12"/>
        <v>1.9905605998805642E-2</v>
      </c>
      <c r="X146" s="204">
        <v>442.35940551757813</v>
      </c>
      <c r="Y146" s="207">
        <f t="shared" si="13"/>
        <v>-5.934329216365275E-3</v>
      </c>
      <c r="AA146" s="204">
        <v>1221.90625</v>
      </c>
      <c r="AB146" s="207">
        <f t="shared" si="14"/>
        <v>-1.003870794445938E-2</v>
      </c>
      <c r="AC146" s="200"/>
    </row>
    <row r="147" spans="15:29" x14ac:dyDescent="0.3">
      <c r="O147" s="199"/>
      <c r="P147" s="202">
        <v>45959</v>
      </c>
      <c r="R147" s="204">
        <v>26053.900390625</v>
      </c>
      <c r="S147" s="207">
        <f t="shared" si="11"/>
        <v>6.8031456982506899E-3</v>
      </c>
      <c r="U147" s="204">
        <v>232.8399963378906</v>
      </c>
      <c r="V147" s="207">
        <f t="shared" si="12"/>
        <v>2.5817255796346528E-2</v>
      </c>
      <c r="X147" s="204">
        <v>437.0279541015625</v>
      </c>
      <c r="Y147" s="207">
        <f t="shared" si="13"/>
        <v>-1.2052307127453532E-2</v>
      </c>
      <c r="AA147" s="204">
        <v>1214.11181640625</v>
      </c>
      <c r="AB147" s="207">
        <f t="shared" si="14"/>
        <v>-6.3789129434029812E-3</v>
      </c>
      <c r="AC147" s="200"/>
    </row>
    <row r="148" spans="15:29" x14ac:dyDescent="0.3">
      <c r="O148" s="199"/>
      <c r="P148" s="202">
        <v>45958</v>
      </c>
      <c r="R148" s="204">
        <v>25936.19921875</v>
      </c>
      <c r="S148" s="207">
        <f t="shared" si="11"/>
        <v>-4.5176027431713672E-3</v>
      </c>
      <c r="U148" s="204">
        <v>229.50999450683591</v>
      </c>
      <c r="V148" s="207">
        <f t="shared" si="12"/>
        <v>-1.4301674469287873E-2</v>
      </c>
      <c r="X148" s="204">
        <v>435.53317260742188</v>
      </c>
      <c r="Y148" s="207">
        <f t="shared" si="13"/>
        <v>-3.4203338255869298E-3</v>
      </c>
      <c r="AA148" s="204">
        <v>1200.321899414062</v>
      </c>
      <c r="AB148" s="207">
        <f t="shared" si="14"/>
        <v>-1.1358028812375687E-2</v>
      </c>
      <c r="AC148" s="200"/>
    </row>
    <row r="149" spans="15:29" x14ac:dyDescent="0.3">
      <c r="O149" s="199"/>
      <c r="P149" s="202">
        <v>45957</v>
      </c>
      <c r="R149" s="204">
        <v>25966.05078125</v>
      </c>
      <c r="S149" s="207">
        <f t="shared" si="11"/>
        <v>1.1509613358622328E-3</v>
      </c>
      <c r="U149" s="204">
        <v>222.0299987792969</v>
      </c>
      <c r="V149" s="207">
        <f t="shared" si="12"/>
        <v>-3.259115466240059E-2</v>
      </c>
      <c r="X149" s="204">
        <v>437.67572021484381</v>
      </c>
      <c r="Y149" s="207">
        <f t="shared" si="13"/>
        <v>4.9193672082314954E-3</v>
      </c>
      <c r="AA149" s="204">
        <v>1199.22265625</v>
      </c>
      <c r="AB149" s="207">
        <f t="shared" si="14"/>
        <v>-9.1579030974830999E-4</v>
      </c>
      <c r="AC149" s="200"/>
    </row>
    <row r="150" spans="15:29" x14ac:dyDescent="0.3">
      <c r="O150" s="199"/>
      <c r="P150" s="202">
        <v>45954</v>
      </c>
      <c r="R150" s="204">
        <v>25795.150390625</v>
      </c>
      <c r="S150" s="207">
        <f t="shared" si="11"/>
        <v>-6.5816859122992399E-3</v>
      </c>
      <c r="U150" s="204">
        <v>218.96000671386719</v>
      </c>
      <c r="V150" s="207">
        <f t="shared" si="12"/>
        <v>-1.3826924660218398E-2</v>
      </c>
      <c r="X150" s="204">
        <v>441.711669921875</v>
      </c>
      <c r="Y150" s="207">
        <f t="shared" si="13"/>
        <v>9.2213241919154587E-3</v>
      </c>
      <c r="AA150" s="204">
        <v>1191.128662109375</v>
      </c>
      <c r="AB150" s="207">
        <f t="shared" si="14"/>
        <v>-6.7493672659046933E-3</v>
      </c>
      <c r="AC150" s="200"/>
    </row>
    <row r="151" spans="15:29" x14ac:dyDescent="0.3">
      <c r="O151" s="199"/>
      <c r="P151" s="202">
        <v>45953</v>
      </c>
      <c r="R151" s="204">
        <v>25891.400390625</v>
      </c>
      <c r="S151" s="207">
        <f t="shared" si="11"/>
        <v>3.7313215291421287E-3</v>
      </c>
      <c r="U151" s="204">
        <v>223.30000305175781</v>
      </c>
      <c r="V151" s="207">
        <f t="shared" si="12"/>
        <v>1.9820954534231605E-2</v>
      </c>
      <c r="X151" s="204">
        <v>445.49844360351563</v>
      </c>
      <c r="Y151" s="207">
        <f t="shared" si="13"/>
        <v>8.5729536697782827E-3</v>
      </c>
      <c r="AA151" s="204">
        <v>1196.524780273438</v>
      </c>
      <c r="AB151" s="207">
        <f t="shared" si="14"/>
        <v>4.5302563322646705E-3</v>
      </c>
      <c r="AC151" s="200"/>
    </row>
    <row r="152" spans="15:29" x14ac:dyDescent="0.3">
      <c r="O152" s="199"/>
      <c r="P152" s="202">
        <v>45951</v>
      </c>
      <c r="R152" s="204">
        <v>25868.599609375</v>
      </c>
      <c r="S152" s="207">
        <f t="shared" si="11"/>
        <v>-8.8063144155992035E-4</v>
      </c>
      <c r="U152" s="204">
        <v>225.1600036621094</v>
      </c>
      <c r="V152" s="207">
        <f t="shared" si="12"/>
        <v>8.3296040525375759E-3</v>
      </c>
      <c r="X152" s="204">
        <v>445.74758911132813</v>
      </c>
      <c r="Y152" s="207">
        <f t="shared" si="13"/>
        <v>5.5925112958243872E-4</v>
      </c>
      <c r="AA152" s="204">
        <v>1225.103759765625</v>
      </c>
      <c r="AB152" s="207">
        <f t="shared" si="14"/>
        <v>2.3884987560103932E-2</v>
      </c>
      <c r="AC152" s="200"/>
    </row>
    <row r="153" spans="15:29" x14ac:dyDescent="0.3">
      <c r="O153" s="199"/>
      <c r="P153" s="202">
        <v>45950</v>
      </c>
      <c r="R153" s="204">
        <v>25843.150390625</v>
      </c>
      <c r="S153" s="207">
        <f t="shared" si="11"/>
        <v>-9.8378803392118463E-4</v>
      </c>
      <c r="U153" s="204">
        <v>219.2200012207031</v>
      </c>
      <c r="V153" s="207">
        <f t="shared" si="12"/>
        <v>-2.6381250421013025E-2</v>
      </c>
      <c r="X153" s="204">
        <v>445.74758911132813</v>
      </c>
      <c r="Y153" s="207">
        <f t="shared" si="13"/>
        <v>0</v>
      </c>
      <c r="AA153" s="204">
        <v>1228.701171875</v>
      </c>
      <c r="AB153" s="207">
        <f t="shared" si="14"/>
        <v>2.936414226712758E-3</v>
      </c>
      <c r="AC153" s="200"/>
    </row>
    <row r="154" spans="15:29" x14ac:dyDescent="0.3">
      <c r="O154" s="199"/>
      <c r="P154" s="202">
        <v>45947</v>
      </c>
      <c r="R154" s="204">
        <v>25709.849609375</v>
      </c>
      <c r="S154" s="207">
        <f t="shared" si="11"/>
        <v>-5.1580700973035132E-3</v>
      </c>
      <c r="U154" s="204">
        <v>215.3699951171875</v>
      </c>
      <c r="V154" s="207">
        <f t="shared" si="12"/>
        <v>-1.756229396075748E-2</v>
      </c>
      <c r="X154" s="204">
        <v>441.81130981445313</v>
      </c>
      <c r="Y154" s="207">
        <f t="shared" si="13"/>
        <v>-8.8307360331945084E-3</v>
      </c>
      <c r="AA154" s="204">
        <v>1216.909790039062</v>
      </c>
      <c r="AB154" s="207">
        <f t="shared" si="14"/>
        <v>-9.5966229265853631E-3</v>
      </c>
      <c r="AC154" s="200"/>
    </row>
    <row r="155" spans="15:29" x14ac:dyDescent="0.3">
      <c r="O155" s="199"/>
      <c r="P155" s="202">
        <v>45946</v>
      </c>
      <c r="R155" s="204">
        <v>25585.30078125</v>
      </c>
      <c r="S155" s="207">
        <f t="shared" si="11"/>
        <v>-4.8444012710048279E-3</v>
      </c>
      <c r="U155" s="204">
        <v>215.71000671386719</v>
      </c>
      <c r="V155" s="207">
        <f t="shared" si="12"/>
        <v>1.5787324343610187E-3</v>
      </c>
      <c r="X155" s="204">
        <v>448.488037109375</v>
      </c>
      <c r="Y155" s="207">
        <f t="shared" si="13"/>
        <v>1.5112169260053321E-2</v>
      </c>
      <c r="AA155" s="204">
        <v>1234.296997070312</v>
      </c>
      <c r="AB155" s="207">
        <f t="shared" si="14"/>
        <v>1.4287999959875286E-2</v>
      </c>
      <c r="AC155" s="200"/>
    </row>
    <row r="156" spans="15:29" x14ac:dyDescent="0.3">
      <c r="O156" s="199"/>
      <c r="P156" s="202">
        <v>45945</v>
      </c>
      <c r="R156" s="204">
        <v>25323.55078125</v>
      </c>
      <c r="S156" s="207">
        <f t="shared" si="11"/>
        <v>-1.0230483598294149E-2</v>
      </c>
      <c r="U156" s="204">
        <v>212.6499938964844</v>
      </c>
      <c r="V156" s="207">
        <f t="shared" si="12"/>
        <v>-1.4185771276906012E-2</v>
      </c>
      <c r="X156" s="204">
        <v>441.61199951171881</v>
      </c>
      <c r="Y156" s="207">
        <f t="shared" si="13"/>
        <v>-1.5331596450095075E-2</v>
      </c>
      <c r="AA156" s="204">
        <v>1206.517456054688</v>
      </c>
      <c r="AB156" s="207">
        <f t="shared" si="14"/>
        <v>-2.2506366848141668E-2</v>
      </c>
      <c r="AC156" s="200"/>
    </row>
    <row r="157" spans="15:29" x14ac:dyDescent="0.3">
      <c r="O157" s="199"/>
      <c r="P157" s="202">
        <v>45944</v>
      </c>
      <c r="R157" s="204">
        <v>25145.5</v>
      </c>
      <c r="S157" s="207">
        <f t="shared" si="11"/>
        <v>-7.0310353705149709E-3</v>
      </c>
      <c r="U157" s="204">
        <v>213.7200012207031</v>
      </c>
      <c r="V157" s="207">
        <f t="shared" si="12"/>
        <v>5.031776886575301E-3</v>
      </c>
      <c r="X157" s="204">
        <v>441.761474609375</v>
      </c>
      <c r="Y157" s="207">
        <f t="shared" si="13"/>
        <v>3.3847607814441183E-4</v>
      </c>
      <c r="AA157" s="204">
        <v>1184.533447265625</v>
      </c>
      <c r="AB157" s="207">
        <f t="shared" si="14"/>
        <v>-1.8221044941157061E-2</v>
      </c>
      <c r="AC157" s="200"/>
    </row>
    <row r="158" spans="15:29" x14ac:dyDescent="0.3">
      <c r="O158" s="199"/>
      <c r="P158" s="202">
        <v>45943</v>
      </c>
      <c r="R158" s="204">
        <v>25227.349609375</v>
      </c>
      <c r="S158" s="207">
        <f t="shared" si="11"/>
        <v>3.255040041955759E-3</v>
      </c>
      <c r="U158" s="204">
        <v>215.6600036621094</v>
      </c>
      <c r="V158" s="207">
        <f t="shared" si="12"/>
        <v>9.0773087700055655E-3</v>
      </c>
      <c r="X158" s="204">
        <v>441.761474609375</v>
      </c>
      <c r="Y158" s="207">
        <f t="shared" si="13"/>
        <v>0</v>
      </c>
      <c r="AA158" s="204">
        <v>1232.398559570312</v>
      </c>
      <c r="AB158" s="207">
        <f t="shared" si="14"/>
        <v>4.0408409247690624E-2</v>
      </c>
      <c r="AC158" s="200"/>
    </row>
    <row r="159" spans="15:29" x14ac:dyDescent="0.3">
      <c r="O159" s="199"/>
      <c r="P159" s="202">
        <v>45940</v>
      </c>
      <c r="R159" s="204">
        <v>25285.349609375</v>
      </c>
      <c r="S159" s="207">
        <f t="shared" si="11"/>
        <v>2.2990920924346181E-3</v>
      </c>
      <c r="U159" s="204">
        <v>217.83000183105469</v>
      </c>
      <c r="V159" s="207">
        <f t="shared" si="12"/>
        <v>1.0062126180546693E-2</v>
      </c>
      <c r="X159" s="204">
        <v>446.79397583007813</v>
      </c>
      <c r="Y159" s="207">
        <f t="shared" si="13"/>
        <v>1.1391897007662521E-2</v>
      </c>
      <c r="AA159" s="204">
        <v>1218.908325195312</v>
      </c>
      <c r="AB159" s="207">
        <f t="shared" si="14"/>
        <v>-1.0946324360930348E-2</v>
      </c>
      <c r="AC159" s="200"/>
    </row>
    <row r="160" spans="15:29" x14ac:dyDescent="0.3">
      <c r="O160" s="199"/>
      <c r="P160" s="202">
        <v>45939</v>
      </c>
      <c r="R160" s="204">
        <v>25181.80078125</v>
      </c>
      <c r="S160" s="207">
        <f t="shared" si="11"/>
        <v>-4.0952104568333647E-3</v>
      </c>
      <c r="U160" s="204">
        <v>218.55999755859381</v>
      </c>
      <c r="V160" s="207">
        <f t="shared" si="12"/>
        <v>3.3512175614140993E-3</v>
      </c>
      <c r="X160" s="204">
        <v>442.20993041992188</v>
      </c>
      <c r="Y160" s="207">
        <f t="shared" si="13"/>
        <v>-1.0259863959982352E-2</v>
      </c>
      <c r="AA160" s="204">
        <v>1259.078979492188</v>
      </c>
      <c r="AB160" s="207">
        <f t="shared" si="14"/>
        <v>3.2956255582583749E-2</v>
      </c>
      <c r="AC160" s="200"/>
    </row>
    <row r="161" spans="15:29" x14ac:dyDescent="0.3">
      <c r="O161" s="199"/>
      <c r="P161" s="202">
        <v>45938</v>
      </c>
      <c r="R161" s="204">
        <v>25046.150390625</v>
      </c>
      <c r="S161" s="207">
        <f t="shared" si="11"/>
        <v>-5.3868423391707498E-3</v>
      </c>
      <c r="U161" s="204">
        <v>219.63999938964841</v>
      </c>
      <c r="V161" s="207">
        <f t="shared" si="12"/>
        <v>4.9414432792764806E-3</v>
      </c>
      <c r="X161" s="204">
        <v>447.54135131835938</v>
      </c>
      <c r="Y161" s="207">
        <f t="shared" si="13"/>
        <v>1.2056312017631132E-2</v>
      </c>
      <c r="AA161" s="204">
        <v>1310.44140625</v>
      </c>
      <c r="AB161" s="207">
        <f t="shared" si="14"/>
        <v>4.0793649639459195E-2</v>
      </c>
      <c r="AC161" s="200"/>
    </row>
    <row r="162" spans="15:29" x14ac:dyDescent="0.3">
      <c r="O162" s="199"/>
      <c r="P162" s="202">
        <v>45937</v>
      </c>
      <c r="R162" s="204">
        <v>25108.30078125</v>
      </c>
      <c r="S162" s="207">
        <f t="shared" si="11"/>
        <v>2.4814348574806466E-3</v>
      </c>
      <c r="U162" s="204">
        <v>223.57000732421881</v>
      </c>
      <c r="V162" s="207">
        <f t="shared" si="12"/>
        <v>1.7892951855269512E-2</v>
      </c>
      <c r="X162" s="204">
        <v>448.1392822265625</v>
      </c>
      <c r="Y162" s="207">
        <f t="shared" si="13"/>
        <v>1.336034997529767E-3</v>
      </c>
      <c r="AA162" s="204">
        <v>1365.30126953125</v>
      </c>
      <c r="AB162" s="207">
        <f t="shared" si="14"/>
        <v>4.1863652216422853E-2</v>
      </c>
      <c r="AC162" s="200"/>
    </row>
    <row r="163" spans="15:29" x14ac:dyDescent="0.3">
      <c r="O163" s="199"/>
      <c r="P163" s="202">
        <v>45936</v>
      </c>
      <c r="R163" s="204">
        <v>25077.650390625</v>
      </c>
      <c r="S163" s="207">
        <f t="shared" si="11"/>
        <v>-1.2207273957737241E-3</v>
      </c>
      <c r="U163" s="204">
        <v>226.75999450683591</v>
      </c>
      <c r="V163" s="207">
        <f t="shared" si="12"/>
        <v>1.4268403981357869E-2</v>
      </c>
      <c r="X163" s="204">
        <v>458.00491333007813</v>
      </c>
      <c r="Y163" s="207">
        <f t="shared" si="13"/>
        <v>2.2014653690920927E-2</v>
      </c>
      <c r="AA163" s="204">
        <v>1334.923461914062</v>
      </c>
      <c r="AB163" s="207">
        <f t="shared" si="14"/>
        <v>-2.2249893334983617E-2</v>
      </c>
      <c r="AC163" s="200"/>
    </row>
    <row r="164" spans="15:29" x14ac:dyDescent="0.3">
      <c r="O164" s="199"/>
      <c r="P164" s="202">
        <v>45933</v>
      </c>
      <c r="R164" s="204">
        <v>24894.25</v>
      </c>
      <c r="S164" s="207">
        <f t="shared" si="11"/>
        <v>-7.3133003996882495E-3</v>
      </c>
      <c r="U164" s="204">
        <v>229.5899963378906</v>
      </c>
      <c r="V164" s="207">
        <f t="shared" si="12"/>
        <v>1.2480163607383465E-2</v>
      </c>
      <c r="X164" s="204">
        <v>472.80337524414063</v>
      </c>
      <c r="Y164" s="207">
        <f t="shared" si="13"/>
        <v>3.2310705591486633E-2</v>
      </c>
      <c r="AA164" s="204">
        <v>1315.037963867188</v>
      </c>
      <c r="AB164" s="207">
        <f t="shared" si="14"/>
        <v>-1.4896358191473835E-2</v>
      </c>
      <c r="AC164" s="200"/>
    </row>
    <row r="165" spans="15:29" x14ac:dyDescent="0.3">
      <c r="O165" s="199"/>
      <c r="P165" s="202">
        <v>45931</v>
      </c>
      <c r="R165" s="204">
        <v>24836.30078125</v>
      </c>
      <c r="S165" s="207">
        <f t="shared" si="11"/>
        <v>-2.3278154091808112E-3</v>
      </c>
      <c r="U165" s="204">
        <v>228.94000244140619</v>
      </c>
      <c r="V165" s="207">
        <f t="shared" si="12"/>
        <v>-2.8311072209252774E-3</v>
      </c>
      <c r="X165" s="204">
        <v>462.28997802734381</v>
      </c>
      <c r="Y165" s="207">
        <f t="shared" si="13"/>
        <v>-2.2236298992933445E-2</v>
      </c>
      <c r="AA165" s="204">
        <v>1323.431884765625</v>
      </c>
      <c r="AB165" s="207">
        <f t="shared" si="14"/>
        <v>6.3830255316377205E-3</v>
      </c>
      <c r="AC165" s="200"/>
    </row>
    <row r="166" spans="15:29" x14ac:dyDescent="0.3">
      <c r="O166" s="199"/>
      <c r="P166" s="202">
        <v>45930</v>
      </c>
      <c r="R166" s="204">
        <v>24611.099609375</v>
      </c>
      <c r="S166" s="207">
        <f t="shared" si="11"/>
        <v>-9.0674200581840614E-3</v>
      </c>
      <c r="U166" s="204">
        <v>225.22999572753909</v>
      </c>
      <c r="V166" s="207">
        <f t="shared" si="12"/>
        <v>-1.6205148398286684E-2</v>
      </c>
      <c r="X166" s="204">
        <v>461.19378662109381</v>
      </c>
      <c r="Y166" s="207">
        <f t="shared" si="13"/>
        <v>-2.3712203559497214E-3</v>
      </c>
      <c r="AA166" s="204">
        <v>1297.8505859375</v>
      </c>
      <c r="AB166" s="207">
        <f t="shared" si="14"/>
        <v>-1.9329516783295086E-2</v>
      </c>
      <c r="AC166" s="200"/>
    </row>
    <row r="167" spans="15:29" x14ac:dyDescent="0.3">
      <c r="O167" s="199"/>
      <c r="P167" s="202">
        <v>45929</v>
      </c>
      <c r="R167" s="204">
        <v>24634.900390625</v>
      </c>
      <c r="S167" s="207">
        <f t="shared" si="11"/>
        <v>9.6707508513493856E-4</v>
      </c>
      <c r="U167" s="204">
        <v>226.72999572753909</v>
      </c>
      <c r="V167" s="207">
        <f t="shared" si="12"/>
        <v>6.6598589373261241E-3</v>
      </c>
      <c r="X167" s="204">
        <v>459.79864501953119</v>
      </c>
      <c r="Y167" s="207">
        <f t="shared" si="13"/>
        <v>-3.0250659094608334E-3</v>
      </c>
      <c r="AA167" s="204">
        <v>1284.360473632812</v>
      </c>
      <c r="AB167" s="207">
        <f t="shared" si="14"/>
        <v>-1.0394195179981636E-2</v>
      </c>
      <c r="AC167" s="200"/>
    </row>
    <row r="168" spans="15:29" x14ac:dyDescent="0.3">
      <c r="O168" s="199"/>
      <c r="P168" s="202">
        <v>45926</v>
      </c>
      <c r="R168" s="204">
        <v>24654.69921875</v>
      </c>
      <c r="S168" s="207">
        <f t="shared" si="11"/>
        <v>8.0369020418413761E-4</v>
      </c>
      <c r="U168" s="204">
        <v>229.6600036621094</v>
      </c>
      <c r="V168" s="207">
        <f t="shared" si="12"/>
        <v>1.2922895028372405E-2</v>
      </c>
      <c r="X168" s="204">
        <v>492.3353271484375</v>
      </c>
      <c r="Y168" s="207">
        <f t="shared" si="13"/>
        <v>7.0762892586436976E-2</v>
      </c>
      <c r="AA168" s="204">
        <v>1267.972412109375</v>
      </c>
      <c r="AB168" s="207">
        <f t="shared" si="14"/>
        <v>-1.2759705596578685E-2</v>
      </c>
      <c r="AC168" s="200"/>
    </row>
    <row r="169" spans="15:29" x14ac:dyDescent="0.3">
      <c r="O169" s="199"/>
      <c r="P169" s="202">
        <v>45925</v>
      </c>
      <c r="R169" s="204">
        <v>24890.849609375</v>
      </c>
      <c r="S169" s="207">
        <f t="shared" si="11"/>
        <v>9.5783115636391969E-3</v>
      </c>
      <c r="U169" s="204">
        <v>235.8500061035156</v>
      </c>
      <c r="V169" s="207">
        <f t="shared" si="12"/>
        <v>2.6952897076991E-2</v>
      </c>
      <c r="X169" s="204">
        <v>484.163818359375</v>
      </c>
      <c r="Y169" s="207">
        <f t="shared" si="13"/>
        <v>-1.6597445558885981E-2</v>
      </c>
      <c r="AA169" s="204">
        <v>1304.645629882812</v>
      </c>
      <c r="AB169" s="207">
        <f t="shared" si="14"/>
        <v>2.8922725307901853E-2</v>
      </c>
      <c r="AC169" s="200"/>
    </row>
    <row r="170" spans="15:29" x14ac:dyDescent="0.3">
      <c r="O170" s="199"/>
      <c r="P170" s="202">
        <v>45924</v>
      </c>
      <c r="R170" s="204">
        <v>25056.900390625</v>
      </c>
      <c r="S170" s="207">
        <f t="shared" si="11"/>
        <v>6.6711576284426144E-3</v>
      </c>
      <c r="U170" s="204">
        <v>237.67999267578119</v>
      </c>
      <c r="V170" s="207">
        <f t="shared" si="12"/>
        <v>7.7591118291615579E-3</v>
      </c>
      <c r="X170" s="204">
        <v>491.53811645507813</v>
      </c>
      <c r="Y170" s="207">
        <f t="shared" si="13"/>
        <v>1.5230997889704945E-2</v>
      </c>
      <c r="AA170" s="204">
        <v>1307.843383789062</v>
      </c>
      <c r="AB170" s="207">
        <f t="shared" si="14"/>
        <v>2.4510517132052545E-3</v>
      </c>
      <c r="AC170" s="200"/>
    </row>
    <row r="171" spans="15:29" x14ac:dyDescent="0.3">
      <c r="O171" s="199"/>
      <c r="P171" s="202">
        <v>45923</v>
      </c>
      <c r="R171" s="204">
        <v>25169.5</v>
      </c>
      <c r="S171" s="207">
        <f t="shared" si="11"/>
        <v>4.4937565149569814E-3</v>
      </c>
      <c r="U171" s="204">
        <v>240.75</v>
      </c>
      <c r="V171" s="207">
        <f t="shared" si="12"/>
        <v>1.291655763557098E-2</v>
      </c>
      <c r="X171" s="204">
        <v>492.2855224609375</v>
      </c>
      <c r="Y171" s="207">
        <f t="shared" si="13"/>
        <v>1.5205453673656777E-3</v>
      </c>
      <c r="AA171" s="204">
        <v>1316.13720703125</v>
      </c>
      <c r="AB171" s="207">
        <f t="shared" si="14"/>
        <v>6.3416027828646637E-3</v>
      </c>
      <c r="AC171" s="200"/>
    </row>
    <row r="172" spans="15:29" x14ac:dyDescent="0.3">
      <c r="O172" s="199"/>
      <c r="P172" s="202">
        <v>45922</v>
      </c>
      <c r="R172" s="204">
        <v>25202.349609375</v>
      </c>
      <c r="S172" s="207">
        <f t="shared" si="11"/>
        <v>1.3051355559308142E-3</v>
      </c>
      <c r="U172" s="204">
        <v>239.9700012207031</v>
      </c>
      <c r="V172" s="207">
        <f t="shared" si="12"/>
        <v>-3.2398703189902012E-3</v>
      </c>
      <c r="X172" s="204">
        <v>462.3896484375</v>
      </c>
      <c r="Y172" s="207">
        <f t="shared" si="13"/>
        <v>-6.0728728876664695E-2</v>
      </c>
      <c r="AA172" s="204">
        <v>1311.740356445312</v>
      </c>
      <c r="AB172" s="207">
        <f t="shared" si="14"/>
        <v>-3.3407235677621605E-3</v>
      </c>
      <c r="AC172" s="200"/>
    </row>
    <row r="173" spans="15:29" x14ac:dyDescent="0.3">
      <c r="O173" s="199"/>
      <c r="P173" s="202">
        <v>45919</v>
      </c>
      <c r="R173" s="204">
        <v>25327.05078125</v>
      </c>
      <c r="S173" s="207">
        <f t="shared" si="11"/>
        <v>4.9479978576525419E-3</v>
      </c>
      <c r="U173" s="204">
        <v>242.74554443359381</v>
      </c>
      <c r="V173" s="207">
        <f t="shared" si="12"/>
        <v>1.1566209104353797E-2</v>
      </c>
      <c r="X173" s="204">
        <v>473.7999267578125</v>
      </c>
      <c r="Y173" s="207">
        <f t="shared" si="13"/>
        <v>2.4676759868803133E-2</v>
      </c>
      <c r="AA173" s="204">
        <v>1318.735229492188</v>
      </c>
      <c r="AB173" s="207">
        <f t="shared" si="14"/>
        <v>5.3325134143400454E-3</v>
      </c>
      <c r="AC173" s="200"/>
    </row>
    <row r="174" spans="15:29" x14ac:dyDescent="0.3">
      <c r="O174" s="199"/>
      <c r="P174" s="202">
        <v>45918</v>
      </c>
      <c r="R174" s="204">
        <v>25423.599609375</v>
      </c>
      <c r="S174" s="207">
        <f t="shared" si="11"/>
        <v>3.8120833317267788E-3</v>
      </c>
      <c r="U174" s="204">
        <v>247.8191223144531</v>
      </c>
      <c r="V174" s="207">
        <f t="shared" si="12"/>
        <v>2.0900807438907432E-2</v>
      </c>
      <c r="X174" s="204">
        <v>454.11846923828119</v>
      </c>
      <c r="Y174" s="207">
        <f t="shared" si="13"/>
        <v>-4.1539595951840869E-2</v>
      </c>
      <c r="AA174" s="204">
        <v>1311.640502929688</v>
      </c>
      <c r="AB174" s="207">
        <f t="shared" si="14"/>
        <v>-5.3799476982441252E-3</v>
      </c>
      <c r="AC174" s="200"/>
    </row>
    <row r="175" spans="15:29" x14ac:dyDescent="0.3">
      <c r="O175" s="199"/>
      <c r="P175" s="202">
        <v>45917</v>
      </c>
      <c r="R175" s="204">
        <v>25330.25</v>
      </c>
      <c r="S175" s="207">
        <f t="shared" si="11"/>
        <v>-3.6717699621330313E-3</v>
      </c>
      <c r="U175" s="204">
        <v>246.6153869628906</v>
      </c>
      <c r="V175" s="207">
        <f t="shared" si="12"/>
        <v>-4.8573142391937774E-3</v>
      </c>
      <c r="X175" s="204">
        <v>452.922607421875</v>
      </c>
      <c r="Y175" s="207">
        <f t="shared" si="13"/>
        <v>-2.6333696984667254E-3</v>
      </c>
      <c r="AA175" s="204">
        <v>1302.547119140625</v>
      </c>
      <c r="AB175" s="207">
        <f t="shared" si="14"/>
        <v>-6.9328324100634831E-3</v>
      </c>
      <c r="AC175" s="200"/>
    </row>
    <row r="176" spans="15:29" x14ac:dyDescent="0.3">
      <c r="O176" s="199"/>
      <c r="P176" s="202">
        <v>45916</v>
      </c>
      <c r="R176" s="204">
        <v>25239.099609375</v>
      </c>
      <c r="S176" s="207">
        <f t="shared" si="11"/>
        <v>-3.5984797080566011E-3</v>
      </c>
      <c r="U176" s="204">
        <v>243.3822326660156</v>
      </c>
      <c r="V176" s="207">
        <f t="shared" si="12"/>
        <v>-1.3110107753988243E-2</v>
      </c>
      <c r="X176" s="204">
        <v>448.98629760742188</v>
      </c>
      <c r="Y176" s="207">
        <f t="shared" si="13"/>
        <v>-8.6909104335934906E-3</v>
      </c>
      <c r="AA176" s="204">
        <v>1320.13427734375</v>
      </c>
      <c r="AB176" s="207">
        <f t="shared" si="14"/>
        <v>1.3502128210707953E-2</v>
      </c>
      <c r="AC176" s="200"/>
    </row>
    <row r="177" spans="15:29" x14ac:dyDescent="0.3">
      <c r="O177" s="199"/>
      <c r="P177" s="202">
        <v>45915</v>
      </c>
      <c r="R177" s="204">
        <v>25069.19921875</v>
      </c>
      <c r="S177" s="207">
        <f t="shared" si="11"/>
        <v>-6.7316343789811661E-3</v>
      </c>
      <c r="U177" s="204">
        <v>245.23258972167969</v>
      </c>
      <c r="V177" s="207">
        <f t="shared" si="12"/>
        <v>7.6026792728263182E-3</v>
      </c>
      <c r="X177" s="204">
        <v>444.8507080078125</v>
      </c>
      <c r="Y177" s="207">
        <f t="shared" si="13"/>
        <v>-9.2109483555451455E-3</v>
      </c>
      <c r="AA177" s="204">
        <v>1300.548583984375</v>
      </c>
      <c r="AB177" s="207">
        <f t="shared" si="14"/>
        <v>-1.4836137274447214E-2</v>
      </c>
      <c r="AC177" s="200"/>
    </row>
    <row r="178" spans="15:29" x14ac:dyDescent="0.3">
      <c r="O178" s="199"/>
      <c r="P178" s="202">
        <v>45912</v>
      </c>
      <c r="R178" s="204">
        <v>25114</v>
      </c>
      <c r="S178" s="207">
        <f t="shared" si="11"/>
        <v>1.7870846555199105E-3</v>
      </c>
      <c r="U178" s="204">
        <v>242.1387023925781</v>
      </c>
      <c r="V178" s="207">
        <f t="shared" si="12"/>
        <v>-1.2616134473044216E-2</v>
      </c>
      <c r="X178" s="204">
        <v>443.30612182617188</v>
      </c>
      <c r="Y178" s="207">
        <f t="shared" si="13"/>
        <v>-3.4721450451495883E-3</v>
      </c>
      <c r="AA178" s="204">
        <v>1280.063598632812</v>
      </c>
      <c r="AB178" s="207">
        <f t="shared" si="14"/>
        <v>-1.5751034297238564E-2</v>
      </c>
      <c r="AC178" s="200"/>
    </row>
    <row r="179" spans="15:29" x14ac:dyDescent="0.3">
      <c r="O179" s="199"/>
      <c r="P179" s="202">
        <v>45911</v>
      </c>
      <c r="R179" s="204">
        <v>25005.5</v>
      </c>
      <c r="S179" s="207">
        <f t="shared" si="11"/>
        <v>-4.3202994345783452E-3</v>
      </c>
      <c r="U179" s="204">
        <v>244.19798278808591</v>
      </c>
      <c r="V179" s="207">
        <f t="shared" si="12"/>
        <v>8.5045487365713601E-3</v>
      </c>
      <c r="X179" s="204">
        <v>445.14968872070313</v>
      </c>
      <c r="Y179" s="207">
        <f t="shared" si="13"/>
        <v>4.1586768234482818E-3</v>
      </c>
      <c r="AA179" s="204">
        <v>1281.2626953125</v>
      </c>
      <c r="AB179" s="207">
        <f t="shared" si="14"/>
        <v>9.3674773735363814E-4</v>
      </c>
      <c r="AC179" s="200"/>
    </row>
    <row r="180" spans="15:29" x14ac:dyDescent="0.3">
      <c r="O180" s="199"/>
      <c r="P180" s="202">
        <v>45910</v>
      </c>
      <c r="R180" s="204">
        <v>24973.099609375</v>
      </c>
      <c r="S180" s="207">
        <f t="shared" si="11"/>
        <v>-1.2957305642758987E-3</v>
      </c>
      <c r="U180" s="204">
        <v>242.74554443359381</v>
      </c>
      <c r="V180" s="207">
        <f t="shared" si="12"/>
        <v>-5.9477901410533995E-3</v>
      </c>
      <c r="X180" s="204">
        <v>456.90872192382813</v>
      </c>
      <c r="Y180" s="207">
        <f t="shared" si="13"/>
        <v>2.6415907954285611E-2</v>
      </c>
      <c r="AA180" s="204">
        <v>1268.871826171875</v>
      </c>
      <c r="AB180" s="207">
        <f t="shared" si="14"/>
        <v>-9.6708264323600579E-3</v>
      </c>
      <c r="AC180" s="200"/>
    </row>
    <row r="181" spans="15:29" x14ac:dyDescent="0.3">
      <c r="O181" s="199"/>
      <c r="P181" s="202">
        <v>45909</v>
      </c>
      <c r="R181" s="204">
        <v>24868.599609375</v>
      </c>
      <c r="S181" s="207">
        <f t="shared" si="11"/>
        <v>-4.1845025901698918E-3</v>
      </c>
      <c r="U181" s="204">
        <v>242.98429870605469</v>
      </c>
      <c r="V181" s="207">
        <f t="shared" si="12"/>
        <v>9.8355779513048525E-4</v>
      </c>
      <c r="X181" s="204">
        <v>457.55645751953119</v>
      </c>
      <c r="Y181" s="207">
        <f t="shared" si="13"/>
        <v>1.4176476933418503E-3</v>
      </c>
      <c r="AA181" s="204">
        <v>1282.961547851562</v>
      </c>
      <c r="AB181" s="207">
        <f t="shared" si="14"/>
        <v>1.1104133127610716E-2</v>
      </c>
      <c r="AC181" s="200"/>
    </row>
    <row r="182" spans="15:29" x14ac:dyDescent="0.3">
      <c r="O182" s="199"/>
      <c r="P182" s="202">
        <v>45908</v>
      </c>
      <c r="R182" s="204">
        <v>24773.150390625</v>
      </c>
      <c r="S182" s="207">
        <f t="shared" si="11"/>
        <v>-3.8381420847685144E-3</v>
      </c>
      <c r="U182" s="204">
        <v>239.85063171386719</v>
      </c>
      <c r="V182" s="207">
        <f t="shared" si="12"/>
        <v>-1.2896582243688059E-2</v>
      </c>
      <c r="X182" s="204">
        <v>456.31082153320313</v>
      </c>
      <c r="Y182" s="207">
        <f t="shared" si="13"/>
        <v>-2.7223656575208199E-3</v>
      </c>
      <c r="AA182" s="204">
        <v>1308.942504882812</v>
      </c>
      <c r="AB182" s="207">
        <f t="shared" si="14"/>
        <v>2.0250768290567711E-2</v>
      </c>
      <c r="AC182" s="200"/>
    </row>
    <row r="183" spans="15:29" x14ac:dyDescent="0.3">
      <c r="O183" s="199"/>
      <c r="P183" s="202">
        <v>45905</v>
      </c>
      <c r="R183" s="204">
        <v>24741</v>
      </c>
      <c r="S183" s="207">
        <f t="shared" si="11"/>
        <v>-1.2977917672177819E-3</v>
      </c>
      <c r="U183" s="204">
        <v>223.86390686035159</v>
      </c>
      <c r="V183" s="207">
        <f t="shared" si="12"/>
        <v>-6.6652836139231675E-2</v>
      </c>
      <c r="X183" s="204">
        <v>459.05126953125</v>
      </c>
      <c r="Y183" s="207">
        <f t="shared" si="13"/>
        <v>6.00566076613962E-3</v>
      </c>
      <c r="AA183" s="204">
        <v>1297.650756835938</v>
      </c>
      <c r="AB183" s="207">
        <f t="shared" si="14"/>
        <v>-8.6266188199649596E-3</v>
      </c>
      <c r="AC183" s="200"/>
    </row>
    <row r="184" spans="15:29" x14ac:dyDescent="0.3">
      <c r="O184" s="199"/>
      <c r="P184" s="202">
        <v>45904</v>
      </c>
      <c r="R184" s="204">
        <v>24734.30078125</v>
      </c>
      <c r="S184" s="207">
        <f t="shared" si="11"/>
        <v>-2.7077396831165501E-4</v>
      </c>
      <c r="U184" s="204">
        <v>222.63032531738281</v>
      </c>
      <c r="V184" s="207">
        <f t="shared" si="12"/>
        <v>-5.5104083559941452E-3</v>
      </c>
      <c r="X184" s="204">
        <v>451.97589111328119</v>
      </c>
      <c r="Y184" s="207">
        <f t="shared" si="13"/>
        <v>-1.5413046183694656E-2</v>
      </c>
      <c r="AA184" s="204">
        <v>1277.765258789062</v>
      </c>
      <c r="AB184" s="207">
        <f t="shared" si="14"/>
        <v>-1.5324229529494304E-2</v>
      </c>
      <c r="AC184" s="200"/>
    </row>
    <row r="185" spans="15:29" x14ac:dyDescent="0.3">
      <c r="O185" s="199"/>
      <c r="P185" s="202">
        <v>45903</v>
      </c>
      <c r="R185" s="204">
        <v>24715.05078125</v>
      </c>
      <c r="S185" s="207">
        <f t="shared" si="11"/>
        <v>-7.7827144459219344E-4</v>
      </c>
      <c r="U185" s="204">
        <v>224.82887268066409</v>
      </c>
      <c r="V185" s="207">
        <f t="shared" si="12"/>
        <v>9.875327452120608E-3</v>
      </c>
      <c r="X185" s="204">
        <v>457.85543823242188</v>
      </c>
      <c r="Y185" s="207">
        <f t="shared" si="13"/>
        <v>1.3008541461489331E-2</v>
      </c>
      <c r="AA185" s="204">
        <v>1282.261962890625</v>
      </c>
      <c r="AB185" s="207">
        <f t="shared" si="14"/>
        <v>3.5191942108556695E-3</v>
      </c>
      <c r="AC185" s="200"/>
    </row>
    <row r="186" spans="15:29" x14ac:dyDescent="0.3">
      <c r="O186" s="199"/>
      <c r="P186" s="202">
        <v>45902</v>
      </c>
      <c r="R186" s="204">
        <v>24579.599609375</v>
      </c>
      <c r="S186" s="207">
        <f t="shared" si="11"/>
        <v>-5.4805135977207264E-3</v>
      </c>
      <c r="U186" s="204">
        <v>224.21209716796881</v>
      </c>
      <c r="V186" s="207">
        <f t="shared" si="12"/>
        <v>-2.7433109695449431E-3</v>
      </c>
      <c r="X186" s="204">
        <v>458.1036376953125</v>
      </c>
      <c r="Y186" s="207">
        <f t="shared" si="13"/>
        <v>5.4209132875837618E-4</v>
      </c>
      <c r="AA186" s="204">
        <v>1308.043090820312</v>
      </c>
      <c r="AB186" s="207">
        <f t="shared" si="14"/>
        <v>2.0105975748955451E-2</v>
      </c>
      <c r="AC186" s="200"/>
    </row>
    <row r="187" spans="15:29" x14ac:dyDescent="0.3">
      <c r="O187" s="199"/>
      <c r="P187" s="202">
        <v>45901</v>
      </c>
      <c r="R187" s="204">
        <v>24625.05078125</v>
      </c>
      <c r="S187" s="207">
        <f t="shared" si="11"/>
        <v>1.8491420770607725E-3</v>
      </c>
      <c r="U187" s="204">
        <v>222.59053039550781</v>
      </c>
      <c r="V187" s="207">
        <f t="shared" si="12"/>
        <v>-7.2322893944753996E-3</v>
      </c>
      <c r="X187" s="204">
        <v>455.77066040039063</v>
      </c>
      <c r="Y187" s="207">
        <f t="shared" si="13"/>
        <v>-5.0926844996449505E-3</v>
      </c>
      <c r="AA187" s="204">
        <v>1313.639038085938</v>
      </c>
      <c r="AB187" s="207">
        <f t="shared" si="14"/>
        <v>4.2781062068195652E-3</v>
      </c>
      <c r="AC187" s="200"/>
    </row>
    <row r="188" spans="15:29" x14ac:dyDescent="0.3">
      <c r="O188" s="199"/>
      <c r="P188" s="202">
        <v>45898</v>
      </c>
      <c r="R188" s="204">
        <v>24426.849609375</v>
      </c>
      <c r="S188" s="207">
        <f t="shared" si="11"/>
        <v>-8.0487619552814804E-3</v>
      </c>
      <c r="U188" s="204">
        <v>215.01997375488281</v>
      </c>
      <c r="V188" s="207">
        <f t="shared" si="12"/>
        <v>-3.4011135276839188E-2</v>
      </c>
      <c r="X188" s="204">
        <v>448.92071533203119</v>
      </c>
      <c r="Y188" s="207">
        <f t="shared" si="13"/>
        <v>-1.5029368196587733E-2</v>
      </c>
      <c r="AA188" s="204">
        <v>1278.065063476562</v>
      </c>
      <c r="AB188" s="207">
        <f t="shared" si="14"/>
        <v>-2.7080479171211036E-2</v>
      </c>
      <c r="AC188" s="200"/>
    </row>
    <row r="189" spans="15:29" x14ac:dyDescent="0.3">
      <c r="O189" s="199"/>
      <c r="P189" s="202">
        <v>45897</v>
      </c>
      <c r="R189" s="204">
        <v>24500.900390625</v>
      </c>
      <c r="S189" s="207">
        <f t="shared" si="11"/>
        <v>3.0315322046925441E-3</v>
      </c>
      <c r="U189" s="204">
        <v>210.70246887207031</v>
      </c>
      <c r="V189" s="207">
        <f t="shared" si="12"/>
        <v>-2.0079552645347887E-2</v>
      </c>
      <c r="X189" s="204">
        <v>449.71490478515619</v>
      </c>
      <c r="Y189" s="207">
        <f t="shared" si="13"/>
        <v>1.7691084995656858E-3</v>
      </c>
      <c r="AA189" s="204">
        <v>1294.652954101562</v>
      </c>
      <c r="AB189" s="207">
        <f t="shared" si="14"/>
        <v>1.2978909367789226E-2</v>
      </c>
      <c r="AC189" s="200"/>
    </row>
    <row r="190" spans="15:29" x14ac:dyDescent="0.3">
      <c r="O190" s="199"/>
      <c r="P190" s="202">
        <v>45895</v>
      </c>
      <c r="R190" s="204">
        <v>24712.05078125</v>
      </c>
      <c r="S190" s="207">
        <f t="shared" si="11"/>
        <v>8.6180665713735394E-3</v>
      </c>
      <c r="U190" s="204">
        <v>213.0999755859375</v>
      </c>
      <c r="V190" s="207">
        <f t="shared" si="12"/>
        <v>1.1378636077220561E-2</v>
      </c>
      <c r="X190" s="204">
        <v>441.67364501953119</v>
      </c>
      <c r="Y190" s="207">
        <f t="shared" si="13"/>
        <v>-1.7880794432345026E-2</v>
      </c>
      <c r="AA190" s="204">
        <v>1275.86669921875</v>
      </c>
      <c r="AB190" s="207">
        <f t="shared" si="14"/>
        <v>-1.4510649223249961E-2</v>
      </c>
      <c r="AC190" s="200"/>
    </row>
    <row r="191" spans="15:29" x14ac:dyDescent="0.3">
      <c r="O191" s="199"/>
      <c r="P191" s="202">
        <v>45894</v>
      </c>
      <c r="R191" s="204">
        <v>24967.75</v>
      </c>
      <c r="S191" s="207">
        <f t="shared" si="11"/>
        <v>1.0347146864233991E-2</v>
      </c>
      <c r="U191" s="204">
        <v>209.91654968261719</v>
      </c>
      <c r="V191" s="207">
        <f t="shared" si="12"/>
        <v>-1.4938649779603241E-2</v>
      </c>
      <c r="X191" s="204">
        <v>448.92071533203119</v>
      </c>
      <c r="Y191" s="207">
        <f t="shared" si="13"/>
        <v>1.6408201834591019E-2</v>
      </c>
      <c r="AA191" s="204">
        <v>1282.4619140625</v>
      </c>
      <c r="AB191" s="207">
        <f t="shared" si="14"/>
        <v>5.16920368545426E-3</v>
      </c>
      <c r="AC191" s="200"/>
    </row>
    <row r="192" spans="15:29" x14ac:dyDescent="0.3">
      <c r="O192" s="199"/>
      <c r="P192" s="202">
        <v>45891</v>
      </c>
      <c r="R192" s="204">
        <v>24870.099609375</v>
      </c>
      <c r="S192" s="207">
        <f t="shared" si="11"/>
        <v>-3.9110608935526425E-3</v>
      </c>
      <c r="U192" s="204">
        <v>210.30451965332031</v>
      </c>
      <c r="V192" s="207">
        <f t="shared" si="12"/>
        <v>1.8482104974082425E-3</v>
      </c>
      <c r="X192" s="204">
        <v>451.70040893554688</v>
      </c>
      <c r="Y192" s="207">
        <f t="shared" si="13"/>
        <v>6.1919477283638447E-3</v>
      </c>
      <c r="AA192" s="204">
        <v>1264.874755859375</v>
      </c>
      <c r="AB192" s="207">
        <f t="shared" si="14"/>
        <v>-1.3713591031653705E-2</v>
      </c>
      <c r="AC192" s="200"/>
    </row>
    <row r="193" spans="15:29" x14ac:dyDescent="0.3">
      <c r="O193" s="199"/>
      <c r="P193" s="202">
        <v>45890</v>
      </c>
      <c r="R193" s="204">
        <v>25083.75</v>
      </c>
      <c r="S193" s="207">
        <f t="shared" si="11"/>
        <v>8.5906527911316921E-3</v>
      </c>
      <c r="U193" s="204">
        <v>211.9559326171875</v>
      </c>
      <c r="V193" s="207">
        <f t="shared" si="12"/>
        <v>7.8524844192102705E-3</v>
      </c>
      <c r="X193" s="204">
        <v>454.38082885742188</v>
      </c>
      <c r="Y193" s="207">
        <f t="shared" si="13"/>
        <v>5.9340657410329456E-3</v>
      </c>
      <c r="AA193" s="204">
        <v>1229.700439453125</v>
      </c>
      <c r="AB193" s="207">
        <f t="shared" si="14"/>
        <v>-2.7808536966454023E-2</v>
      </c>
      <c r="AC193" s="200"/>
    </row>
    <row r="194" spans="15:29" x14ac:dyDescent="0.3">
      <c r="O194" s="199"/>
      <c r="P194" s="202">
        <v>45889</v>
      </c>
      <c r="R194" s="204">
        <v>25050.55078125</v>
      </c>
      <c r="S194" s="207">
        <f t="shared" si="11"/>
        <v>-1.3235349080580328E-3</v>
      </c>
      <c r="U194" s="204">
        <v>211.77687072753909</v>
      </c>
      <c r="V194" s="207">
        <f t="shared" si="12"/>
        <v>-8.4480716079704532E-4</v>
      </c>
      <c r="X194" s="204">
        <v>457.5576171875</v>
      </c>
      <c r="Y194" s="207">
        <f t="shared" si="13"/>
        <v>6.9914664711239194E-3</v>
      </c>
      <c r="AA194" s="204">
        <v>1233.8974609375</v>
      </c>
      <c r="AB194" s="207">
        <f t="shared" si="14"/>
        <v>3.4130438192259138E-3</v>
      </c>
      <c r="AC194" s="200"/>
    </row>
    <row r="195" spans="15:29" x14ac:dyDescent="0.3">
      <c r="O195" s="199"/>
      <c r="P195" s="202">
        <v>45888</v>
      </c>
      <c r="R195" s="204">
        <v>24980.650390625</v>
      </c>
      <c r="S195" s="207">
        <f t="shared" si="11"/>
        <v>-2.7903734027804328E-3</v>
      </c>
      <c r="U195" s="204">
        <v>209.04112243652341</v>
      </c>
      <c r="V195" s="207">
        <f t="shared" si="12"/>
        <v>-1.2918069294428958E-2</v>
      </c>
      <c r="X195" s="204">
        <v>460.28768920898438</v>
      </c>
      <c r="Y195" s="207">
        <f t="shared" si="13"/>
        <v>5.9666191074809749E-3</v>
      </c>
      <c r="AA195" s="204">
        <v>1219.00830078125</v>
      </c>
      <c r="AB195" s="207">
        <f t="shared" si="14"/>
        <v>-1.2066772667590597E-2</v>
      </c>
      <c r="AC195" s="200"/>
    </row>
    <row r="196" spans="15:29" x14ac:dyDescent="0.3">
      <c r="O196" s="199"/>
      <c r="P196" s="202">
        <v>45887</v>
      </c>
      <c r="R196" s="204">
        <v>24876.94921875</v>
      </c>
      <c r="S196" s="207">
        <f t="shared" si="11"/>
        <v>-4.1512598852877503E-3</v>
      </c>
      <c r="U196" s="204">
        <v>208.9714660644531</v>
      </c>
      <c r="V196" s="207">
        <f t="shared" si="12"/>
        <v>-3.3321851346002074E-4</v>
      </c>
      <c r="X196" s="204">
        <v>445.69427490234381</v>
      </c>
      <c r="Y196" s="207">
        <f t="shared" si="13"/>
        <v>-3.1704985053412349E-2</v>
      </c>
      <c r="AA196" s="204">
        <v>1219.408081054688</v>
      </c>
      <c r="AB196" s="207">
        <f t="shared" si="14"/>
        <v>3.279553331849705E-4</v>
      </c>
      <c r="AC196" s="200"/>
    </row>
    <row r="197" spans="15:29" x14ac:dyDescent="0.3">
      <c r="O197" s="199"/>
      <c r="P197" s="202">
        <v>45883</v>
      </c>
      <c r="R197" s="204">
        <v>24631.30078125</v>
      </c>
      <c r="S197" s="207">
        <f t="shared" si="11"/>
        <v>-9.8745402959158346E-3</v>
      </c>
      <c r="U197" s="204">
        <v>207.5787353515625</v>
      </c>
      <c r="V197" s="207">
        <f t="shared" si="12"/>
        <v>-6.6646932192218067E-3</v>
      </c>
      <c r="X197" s="204">
        <v>438.3975830078125</v>
      </c>
      <c r="Y197" s="207">
        <f t="shared" si="13"/>
        <v>-1.6371518113240446E-2</v>
      </c>
      <c r="AA197" s="204">
        <v>1148.959594726562</v>
      </c>
      <c r="AB197" s="207">
        <f t="shared" si="14"/>
        <v>-5.7772691047933478E-2</v>
      </c>
      <c r="AC197" s="200"/>
    </row>
    <row r="198" spans="15:29" x14ac:dyDescent="0.3">
      <c r="O198" s="199"/>
      <c r="P198" s="202">
        <v>45882</v>
      </c>
      <c r="R198" s="204">
        <v>24619.349609375</v>
      </c>
      <c r="S198" s="207">
        <f t="shared" si="11"/>
        <v>-4.8520262819806703E-4</v>
      </c>
      <c r="U198" s="204">
        <v>210.2448425292969</v>
      </c>
      <c r="V198" s="207">
        <f t="shared" si="12"/>
        <v>1.2843835729218656E-2</v>
      </c>
      <c r="X198" s="204">
        <v>439.53921508789063</v>
      </c>
      <c r="Y198" s="207">
        <f t="shared" si="13"/>
        <v>2.6041021308682577E-3</v>
      </c>
      <c r="AA198" s="204">
        <v>1113.58544921875</v>
      </c>
      <c r="AB198" s="207">
        <f t="shared" si="14"/>
        <v>-3.0787980421740246E-2</v>
      </c>
      <c r="AC198" s="200"/>
    </row>
    <row r="199" spans="15:29" x14ac:dyDescent="0.3">
      <c r="O199" s="199"/>
      <c r="P199" s="202">
        <v>45881</v>
      </c>
      <c r="R199" s="204">
        <v>24487.400390625</v>
      </c>
      <c r="S199" s="207">
        <f t="shared" si="11"/>
        <v>-5.3595737029443757E-3</v>
      </c>
      <c r="U199" s="204">
        <v>213.5874328613281</v>
      </c>
      <c r="V199" s="207">
        <f t="shared" si="12"/>
        <v>1.5898560420408048E-2</v>
      </c>
      <c r="X199" s="204">
        <v>437.40484619140619</v>
      </c>
      <c r="Y199" s="207">
        <f t="shared" si="13"/>
        <v>-4.8559237110564757E-3</v>
      </c>
      <c r="AA199" s="204">
        <v>1068.618286132812</v>
      </c>
      <c r="AB199" s="207">
        <f t="shared" si="14"/>
        <v>-4.038052321668284E-2</v>
      </c>
      <c r="AC199" s="200"/>
    </row>
    <row r="200" spans="15:29" x14ac:dyDescent="0.3">
      <c r="O200" s="199"/>
      <c r="P200" s="202">
        <v>45880</v>
      </c>
      <c r="R200" s="204">
        <v>24585.05078125</v>
      </c>
      <c r="S200" s="207">
        <f t="shared" ref="S200:S250" si="15">IFERROR(R200/R199-1,0)</f>
        <v>3.9877810248238887E-3</v>
      </c>
      <c r="U200" s="204">
        <v>214.35343933105469</v>
      </c>
      <c r="V200" s="207">
        <f t="shared" ref="V200:V250" si="16">IFERROR(U200/U199-1,0)</f>
        <v>3.5863836156686535E-3</v>
      </c>
      <c r="X200" s="204">
        <v>424.49911499023438</v>
      </c>
      <c r="Y200" s="207">
        <f t="shared" ref="Y200:Y250" si="17">IFERROR(X200/X199-1,0)</f>
        <v>-2.9505231397286225E-2</v>
      </c>
      <c r="AA200" s="204">
        <v>1083.307495117188</v>
      </c>
      <c r="AB200" s="207">
        <f t="shared" ref="AB200:AB250" si="18">IFERROR(AA200/AA199-1,0)</f>
        <v>1.3745983177523735E-2</v>
      </c>
      <c r="AC200" s="200"/>
    </row>
    <row r="201" spans="15:29" x14ac:dyDescent="0.3">
      <c r="O201" s="199"/>
      <c r="P201" s="202">
        <v>45877</v>
      </c>
      <c r="R201" s="204">
        <v>24363.30078125</v>
      </c>
      <c r="S201" s="207">
        <f t="shared" si="15"/>
        <v>-9.0197088455525876E-3</v>
      </c>
      <c r="U201" s="204">
        <v>215.95509338378909</v>
      </c>
      <c r="V201" s="207">
        <f t="shared" si="16"/>
        <v>7.4720240446468633E-3</v>
      </c>
      <c r="X201" s="204">
        <v>431.696533203125</v>
      </c>
      <c r="Y201" s="207">
        <f t="shared" si="17"/>
        <v>1.6955084142062926E-2</v>
      </c>
      <c r="AA201" s="204">
        <v>1083.207641601562</v>
      </c>
      <c r="AB201" s="207">
        <f t="shared" si="18"/>
        <v>-9.2174674389267075E-5</v>
      </c>
      <c r="AC201" s="200"/>
    </row>
    <row r="202" spans="15:29" x14ac:dyDescent="0.3">
      <c r="O202" s="199"/>
      <c r="P202" s="202">
        <v>45876</v>
      </c>
      <c r="R202" s="204">
        <v>24596.150390625</v>
      </c>
      <c r="S202" s="207">
        <f t="shared" si="15"/>
        <v>9.5573917288827026E-3</v>
      </c>
      <c r="U202" s="204">
        <v>217.40753173828119</v>
      </c>
      <c r="V202" s="207">
        <f t="shared" si="16"/>
        <v>6.7256499105157186E-3</v>
      </c>
      <c r="X202" s="204">
        <v>435.56826782226563</v>
      </c>
      <c r="Y202" s="207">
        <f t="shared" si="17"/>
        <v>8.9686488571332212E-3</v>
      </c>
      <c r="AA202" s="204">
        <v>1106.290649414062</v>
      </c>
      <c r="AB202" s="207">
        <f t="shared" si="18"/>
        <v>2.1309864264224432E-2</v>
      </c>
      <c r="AC202" s="200"/>
    </row>
    <row r="203" spans="15:29" x14ac:dyDescent="0.3">
      <c r="O203" s="199"/>
      <c r="P203" s="202">
        <v>45875</v>
      </c>
      <c r="R203" s="204">
        <v>24574.19921875</v>
      </c>
      <c r="S203" s="207">
        <f t="shared" si="15"/>
        <v>-8.9246371998796814E-4</v>
      </c>
      <c r="U203" s="204">
        <v>216.55198669433591</v>
      </c>
      <c r="V203" s="207">
        <f t="shared" si="16"/>
        <v>-3.93521345422021E-3</v>
      </c>
      <c r="X203" s="204">
        <v>433.38418579101563</v>
      </c>
      <c r="Y203" s="207">
        <f t="shared" si="17"/>
        <v>-5.0143277015332055E-3</v>
      </c>
      <c r="AA203" s="204">
        <v>1085.605834960938</v>
      </c>
      <c r="AB203" s="207">
        <f t="shared" si="18"/>
        <v>-1.8697450316586872E-2</v>
      </c>
      <c r="AC203" s="200"/>
    </row>
    <row r="204" spans="15:29" x14ac:dyDescent="0.3">
      <c r="O204" s="199"/>
      <c r="P204" s="202">
        <v>45874</v>
      </c>
      <c r="R204" s="204">
        <v>24649.55078125</v>
      </c>
      <c r="S204" s="207">
        <f t="shared" si="15"/>
        <v>3.0662876063325406E-3</v>
      </c>
      <c r="U204" s="204">
        <v>219.42701721191409</v>
      </c>
      <c r="V204" s="207">
        <f t="shared" si="16"/>
        <v>1.3276398713609083E-2</v>
      </c>
      <c r="X204" s="204">
        <v>447.82867431640619</v>
      </c>
      <c r="Y204" s="207">
        <f t="shared" si="17"/>
        <v>3.3329523778137915E-2</v>
      </c>
      <c r="AA204" s="204">
        <v>1102.293579101562</v>
      </c>
      <c r="AB204" s="207">
        <f t="shared" si="18"/>
        <v>1.5371826129899624E-2</v>
      </c>
      <c r="AC204" s="200"/>
    </row>
    <row r="205" spans="15:29" x14ac:dyDescent="0.3">
      <c r="O205" s="199"/>
      <c r="P205" s="202">
        <v>45873</v>
      </c>
      <c r="R205" s="204">
        <v>24722.75</v>
      </c>
      <c r="S205" s="207">
        <f t="shared" si="15"/>
        <v>2.9695964603817515E-3</v>
      </c>
      <c r="U205" s="204">
        <v>221.3072204589844</v>
      </c>
      <c r="V205" s="207">
        <f t="shared" si="16"/>
        <v>8.568695281741423E-3</v>
      </c>
      <c r="X205" s="204">
        <v>448.57327270507813</v>
      </c>
      <c r="Y205" s="207">
        <f t="shared" si="17"/>
        <v>1.6626858246817644E-3</v>
      </c>
      <c r="AA205" s="204">
        <v>1061.323608398438</v>
      </c>
      <c r="AB205" s="207">
        <f t="shared" si="18"/>
        <v>-3.7167930104897384E-2</v>
      </c>
      <c r="AC205" s="200"/>
    </row>
    <row r="206" spans="15:29" x14ac:dyDescent="0.3">
      <c r="O206" s="199"/>
      <c r="P206" s="202">
        <v>45870</v>
      </c>
      <c r="R206" s="204">
        <v>24565.349609375</v>
      </c>
      <c r="S206" s="207">
        <f t="shared" si="15"/>
        <v>-6.3666214569576551E-3</v>
      </c>
      <c r="U206" s="204">
        <v>215.69645690917969</v>
      </c>
      <c r="V206" s="207">
        <f t="shared" si="16"/>
        <v>-2.5352826438144072E-2</v>
      </c>
      <c r="X206" s="204">
        <v>451.35293579101563</v>
      </c>
      <c r="Y206" s="207">
        <f t="shared" si="17"/>
        <v>6.1966756716802518E-3</v>
      </c>
      <c r="AA206" s="204">
        <v>1043.136962890625</v>
      </c>
      <c r="AB206" s="207">
        <f t="shared" si="18"/>
        <v>-1.7135815470322946E-2</v>
      </c>
      <c r="AC206" s="200"/>
    </row>
    <row r="207" spans="15:29" x14ac:dyDescent="0.3">
      <c r="O207" s="199"/>
      <c r="P207" s="202">
        <v>45869</v>
      </c>
      <c r="R207" s="204">
        <v>24768.349609375</v>
      </c>
      <c r="S207" s="207">
        <f t="shared" si="15"/>
        <v>8.2636723363598286E-3</v>
      </c>
      <c r="U207" s="204">
        <v>229.80296325683591</v>
      </c>
      <c r="V207" s="207">
        <f t="shared" si="16"/>
        <v>6.5399805586958903E-2</v>
      </c>
      <c r="X207" s="204">
        <v>455.47283935546881</v>
      </c>
      <c r="Y207" s="207">
        <f t="shared" si="17"/>
        <v>9.1278980100857332E-3</v>
      </c>
      <c r="AA207" s="204">
        <v>1040.638793945312</v>
      </c>
      <c r="AB207" s="207">
        <f t="shared" si="18"/>
        <v>-2.3948618773802499E-3</v>
      </c>
      <c r="AC207" s="200"/>
    </row>
    <row r="208" spans="15:29" x14ac:dyDescent="0.3">
      <c r="O208" s="199"/>
      <c r="P208" s="202">
        <v>45868</v>
      </c>
      <c r="R208" s="204">
        <v>24855.05078125</v>
      </c>
      <c r="S208" s="207">
        <f t="shared" si="15"/>
        <v>3.5004823996098722E-3</v>
      </c>
      <c r="U208" s="204">
        <v>234.6278381347656</v>
      </c>
      <c r="V208" s="207">
        <f t="shared" si="16"/>
        <v>2.0995703491156537E-2</v>
      </c>
      <c r="X208" s="204">
        <v>456.41598510742188</v>
      </c>
      <c r="Y208" s="207">
        <f t="shared" si="17"/>
        <v>2.07069592401532E-3</v>
      </c>
      <c r="AA208" s="204">
        <v>1069.01806640625</v>
      </c>
      <c r="AB208" s="207">
        <f t="shared" si="18"/>
        <v>2.7271011446099669E-2</v>
      </c>
      <c r="AC208" s="200"/>
    </row>
    <row r="209" spans="15:29" x14ac:dyDescent="0.3">
      <c r="O209" s="199"/>
      <c r="P209" s="202">
        <v>45867</v>
      </c>
      <c r="R209" s="204">
        <v>24821.099609375</v>
      </c>
      <c r="S209" s="207">
        <f t="shared" si="15"/>
        <v>-1.3659667072823956E-3</v>
      </c>
      <c r="U209" s="204">
        <v>232.48896789550781</v>
      </c>
      <c r="V209" s="207">
        <f t="shared" si="16"/>
        <v>-9.1160122185895975E-3</v>
      </c>
      <c r="X209" s="204">
        <v>459.79129028320313</v>
      </c>
      <c r="Y209" s="207">
        <f t="shared" si="17"/>
        <v>7.3952387425406663E-3</v>
      </c>
      <c r="AA209" s="204">
        <v>1071.616088867188</v>
      </c>
      <c r="AB209" s="207">
        <f t="shared" si="18"/>
        <v>2.4302886383125166E-3</v>
      </c>
      <c r="AC209" s="200"/>
    </row>
    <row r="210" spans="15:29" x14ac:dyDescent="0.3">
      <c r="O210" s="199"/>
      <c r="P210" s="202">
        <v>45866</v>
      </c>
      <c r="R210" s="204">
        <v>24680.900390625</v>
      </c>
      <c r="S210" s="207">
        <f t="shared" si="15"/>
        <v>-5.6483887078494499E-3</v>
      </c>
      <c r="U210" s="204">
        <v>231.74285888671881</v>
      </c>
      <c r="V210" s="207">
        <f t="shared" si="16"/>
        <v>-3.2092232829058487E-3</v>
      </c>
      <c r="X210" s="204">
        <v>460.53585815429688</v>
      </c>
      <c r="Y210" s="207">
        <f t="shared" si="17"/>
        <v>1.6193605377674558E-3</v>
      </c>
      <c r="AA210" s="204">
        <v>1064.321411132812</v>
      </c>
      <c r="AB210" s="207">
        <f t="shared" si="18"/>
        <v>-6.8071745190828592E-3</v>
      </c>
      <c r="AC210" s="200"/>
    </row>
    <row r="211" spans="15:29" x14ac:dyDescent="0.3">
      <c r="O211" s="199"/>
      <c r="P211" s="202">
        <v>45863</v>
      </c>
      <c r="R211" s="204">
        <v>24837</v>
      </c>
      <c r="S211" s="207">
        <f t="shared" si="15"/>
        <v>6.3247129117822709E-3</v>
      </c>
      <c r="U211" s="204">
        <v>239.50244140625</v>
      </c>
      <c r="V211" s="207">
        <f t="shared" si="16"/>
        <v>3.34835884773661E-2</v>
      </c>
      <c r="X211" s="204">
        <v>463.1666259765625</v>
      </c>
      <c r="Y211" s="207">
        <f t="shared" si="17"/>
        <v>5.7124060497895091E-3</v>
      </c>
      <c r="AA211" s="204">
        <v>1084.306762695312</v>
      </c>
      <c r="AB211" s="207">
        <f t="shared" si="18"/>
        <v>1.8777552864626346E-2</v>
      </c>
      <c r="AC211" s="200"/>
    </row>
    <row r="212" spans="15:29" x14ac:dyDescent="0.3">
      <c r="O212" s="199"/>
      <c r="P212" s="202">
        <v>45862</v>
      </c>
      <c r="R212" s="204">
        <v>25062.099609375</v>
      </c>
      <c r="S212" s="207">
        <f t="shared" si="15"/>
        <v>9.063075628095163E-3</v>
      </c>
      <c r="U212" s="204">
        <v>244.9241943359375</v>
      </c>
      <c r="V212" s="207">
        <f t="shared" si="16"/>
        <v>2.2637568526873597E-2</v>
      </c>
      <c r="X212" s="204">
        <v>469.56985473632813</v>
      </c>
      <c r="Y212" s="207">
        <f t="shared" si="17"/>
        <v>1.3824892383523357E-2</v>
      </c>
      <c r="AA212" s="204">
        <v>1080.209838867188</v>
      </c>
      <c r="AB212" s="207">
        <f t="shared" si="18"/>
        <v>-3.7783807766172961E-3</v>
      </c>
      <c r="AC212" s="200"/>
    </row>
    <row r="213" spans="15:29" x14ac:dyDescent="0.3">
      <c r="O213" s="199"/>
      <c r="P213" s="202">
        <v>45861</v>
      </c>
      <c r="R213" s="204">
        <v>25219.900390625</v>
      </c>
      <c r="S213" s="207">
        <f t="shared" si="15"/>
        <v>6.2963911128568473E-3</v>
      </c>
      <c r="U213" s="204">
        <v>245.12315368652341</v>
      </c>
      <c r="V213" s="207">
        <f t="shared" si="16"/>
        <v>8.1233032581917719E-4</v>
      </c>
      <c r="X213" s="204">
        <v>454.38082885742188</v>
      </c>
      <c r="Y213" s="207">
        <f t="shared" si="17"/>
        <v>-3.2346680106701386E-2</v>
      </c>
      <c r="AA213" s="204">
        <v>1070.616821289062</v>
      </c>
      <c r="AB213" s="207">
        <f t="shared" si="18"/>
        <v>-8.880698205994908E-3</v>
      </c>
      <c r="AC213" s="200"/>
    </row>
    <row r="214" spans="15:29" x14ac:dyDescent="0.3">
      <c r="O214" s="199"/>
      <c r="P214" s="202">
        <v>45860</v>
      </c>
      <c r="R214" s="204">
        <v>25060.900390625</v>
      </c>
      <c r="S214" s="207">
        <f t="shared" si="15"/>
        <v>-6.3045451225931526E-3</v>
      </c>
      <c r="U214" s="204">
        <v>244.82472229003909</v>
      </c>
      <c r="V214" s="207">
        <f t="shared" si="16"/>
        <v>-1.2174753465596933E-3</v>
      </c>
      <c r="X214" s="204">
        <v>454.77792358398438</v>
      </c>
      <c r="Y214" s="207">
        <f t="shared" si="17"/>
        <v>8.7392491351589996E-4</v>
      </c>
      <c r="AA214" s="204">
        <v>1060.624145507812</v>
      </c>
      <c r="AB214" s="207">
        <f t="shared" si="18"/>
        <v>-9.3335688199055467E-3</v>
      </c>
      <c r="AC214" s="200"/>
    </row>
    <row r="215" spans="15:29" x14ac:dyDescent="0.3">
      <c r="O215" s="199"/>
      <c r="P215" s="202">
        <v>45859</v>
      </c>
      <c r="R215" s="204">
        <v>25090.69921875</v>
      </c>
      <c r="S215" s="207">
        <f t="shared" si="15"/>
        <v>1.1890565646295315E-3</v>
      </c>
      <c r="U215" s="204">
        <v>251.0920715332031</v>
      </c>
      <c r="V215" s="207">
        <f t="shared" si="16"/>
        <v>2.5599331572974116E-2</v>
      </c>
      <c r="X215" s="204">
        <v>454.03335571289063</v>
      </c>
      <c r="Y215" s="207">
        <f t="shared" si="17"/>
        <v>-1.6372119939903618E-3</v>
      </c>
      <c r="AA215" s="204">
        <v>1077.212036132812</v>
      </c>
      <c r="AB215" s="207">
        <f t="shared" si="18"/>
        <v>1.5639744479942985E-2</v>
      </c>
      <c r="AC215" s="200"/>
    </row>
    <row r="216" spans="15:29" x14ac:dyDescent="0.3">
      <c r="O216" s="199"/>
      <c r="P216" s="202">
        <v>45856</v>
      </c>
      <c r="R216" s="204">
        <v>24968.400390625</v>
      </c>
      <c r="S216" s="207">
        <f t="shared" si="15"/>
        <v>-4.8742694278367527E-3</v>
      </c>
      <c r="U216" s="204">
        <v>254.72314453125</v>
      </c>
      <c r="V216" s="207">
        <f t="shared" si="16"/>
        <v>1.4461121674910205E-2</v>
      </c>
      <c r="X216" s="204">
        <v>462.124267578125</v>
      </c>
      <c r="Y216" s="207">
        <f t="shared" si="17"/>
        <v>1.7820082519115044E-2</v>
      </c>
      <c r="AA216" s="204">
        <v>1088.203979492188</v>
      </c>
      <c r="AB216" s="207">
        <f t="shared" si="18"/>
        <v>1.0204066600329575E-2</v>
      </c>
      <c r="AC216" s="200"/>
    </row>
    <row r="217" spans="15:29" x14ac:dyDescent="0.3">
      <c r="O217" s="199"/>
      <c r="P217" s="202">
        <v>45855</v>
      </c>
      <c r="R217" s="204">
        <v>25111.44921875</v>
      </c>
      <c r="S217" s="207">
        <f t="shared" si="15"/>
        <v>5.7291947376296726E-3</v>
      </c>
      <c r="U217" s="204">
        <v>254.5242004394531</v>
      </c>
      <c r="V217" s="207">
        <f t="shared" si="16"/>
        <v>-7.8102086939535464E-4</v>
      </c>
      <c r="X217" s="204">
        <v>464.65576171875</v>
      </c>
      <c r="Y217" s="207">
        <f t="shared" si="17"/>
        <v>5.4779511015337068E-3</v>
      </c>
      <c r="AA217" s="204">
        <v>1115.983642578125</v>
      </c>
      <c r="AB217" s="207">
        <f t="shared" si="18"/>
        <v>2.55279925542089E-2</v>
      </c>
      <c r="AC217" s="200"/>
    </row>
    <row r="218" spans="15:29" x14ac:dyDescent="0.3">
      <c r="O218" s="199"/>
      <c r="P218" s="202">
        <v>45854</v>
      </c>
      <c r="R218" s="204">
        <v>25212.05078125</v>
      </c>
      <c r="S218" s="207">
        <f t="shared" si="15"/>
        <v>4.0062029723431092E-3</v>
      </c>
      <c r="U218" s="204">
        <v>249.30140686035159</v>
      </c>
      <c r="V218" s="207">
        <f t="shared" si="16"/>
        <v>-2.0519831002647315E-2</v>
      </c>
      <c r="X218" s="204">
        <v>462.42205810546881</v>
      </c>
      <c r="Y218" s="207">
        <f t="shared" si="17"/>
        <v>-4.8072224586622747E-3</v>
      </c>
      <c r="AA218" s="204">
        <v>1118.681640625</v>
      </c>
      <c r="AB218" s="207">
        <f t="shared" si="18"/>
        <v>2.4175964090675794E-3</v>
      </c>
      <c r="AC218" s="200"/>
    </row>
    <row r="219" spans="15:29" x14ac:dyDescent="0.3">
      <c r="O219" s="199"/>
      <c r="P219" s="202">
        <v>45853</v>
      </c>
      <c r="R219" s="204">
        <v>25195.80078125</v>
      </c>
      <c r="S219" s="207">
        <f t="shared" si="15"/>
        <v>-6.4453305052381005E-4</v>
      </c>
      <c r="U219" s="204">
        <v>240.99467468261719</v>
      </c>
      <c r="V219" s="207">
        <f t="shared" si="16"/>
        <v>-3.3320037308844808E-2</v>
      </c>
      <c r="X219" s="204">
        <v>463.66299438476563</v>
      </c>
      <c r="Y219" s="207">
        <f t="shared" si="17"/>
        <v>2.6835577099866281E-3</v>
      </c>
      <c r="AA219" s="204">
        <v>1105.091674804688</v>
      </c>
      <c r="AB219" s="207">
        <f t="shared" si="18"/>
        <v>-1.2148197777447578E-2</v>
      </c>
      <c r="AC219" s="200"/>
    </row>
    <row r="220" spans="15:29" x14ac:dyDescent="0.3">
      <c r="O220" s="199"/>
      <c r="P220" s="202">
        <v>45852</v>
      </c>
      <c r="R220" s="204">
        <v>25082.30078125</v>
      </c>
      <c r="S220" s="207">
        <f t="shared" si="15"/>
        <v>-4.5047189007965116E-3</v>
      </c>
      <c r="U220" s="204">
        <v>241.1936340332031</v>
      </c>
      <c r="V220" s="207">
        <f t="shared" si="16"/>
        <v>8.2557571385311057E-4</v>
      </c>
      <c r="X220" s="204">
        <v>466.04562377929688</v>
      </c>
      <c r="Y220" s="207">
        <f t="shared" si="17"/>
        <v>5.1387094147825607E-3</v>
      </c>
      <c r="AA220" s="204">
        <v>1076.71240234375</v>
      </c>
      <c r="AB220" s="207">
        <f t="shared" si="18"/>
        <v>-2.5680468967385628E-2</v>
      </c>
      <c r="AC220" s="200"/>
    </row>
    <row r="221" spans="15:29" x14ac:dyDescent="0.3">
      <c r="O221" s="199"/>
      <c r="P221" s="202">
        <v>45849</v>
      </c>
      <c r="R221" s="204">
        <v>25149.849609375</v>
      </c>
      <c r="S221" s="207">
        <f t="shared" si="15"/>
        <v>2.6930873971295899E-3</v>
      </c>
      <c r="U221" s="204">
        <v>246.91383361816409</v>
      </c>
      <c r="V221" s="207">
        <f t="shared" si="16"/>
        <v>2.3716212941895298E-2</v>
      </c>
      <c r="X221" s="204">
        <v>444.7015380859375</v>
      </c>
      <c r="Y221" s="207">
        <f t="shared" si="17"/>
        <v>-4.5798275113655418E-2</v>
      </c>
      <c r="AA221" s="204">
        <v>1072.215698242188</v>
      </c>
      <c r="AB221" s="207">
        <f t="shared" si="18"/>
        <v>-4.1763279514323015E-3</v>
      </c>
      <c r="AC221" s="200"/>
    </row>
    <row r="222" spans="15:29" x14ac:dyDescent="0.3">
      <c r="O222" s="199"/>
      <c r="P222" s="202">
        <v>45848</v>
      </c>
      <c r="R222" s="204">
        <v>25355.25</v>
      </c>
      <c r="S222" s="207">
        <f t="shared" si="15"/>
        <v>8.1670623807004183E-3</v>
      </c>
      <c r="U222" s="204">
        <v>241.88999938964841</v>
      </c>
      <c r="V222" s="207">
        <f t="shared" si="16"/>
        <v>-2.0346507746847098E-2</v>
      </c>
      <c r="X222" s="204">
        <v>463.26593017578119</v>
      </c>
      <c r="Y222" s="207">
        <f t="shared" si="17"/>
        <v>4.1745733935950824E-2</v>
      </c>
      <c r="AA222" s="204">
        <v>1097.796875</v>
      </c>
      <c r="AB222" s="207">
        <f t="shared" si="18"/>
        <v>2.3858237479408517E-2</v>
      </c>
      <c r="AC222" s="200"/>
    </row>
    <row r="223" spans="15:29" x14ac:dyDescent="0.3">
      <c r="O223" s="199"/>
      <c r="P223" s="202">
        <v>45847</v>
      </c>
      <c r="R223" s="204">
        <v>25476.099609375</v>
      </c>
      <c r="S223" s="207">
        <f t="shared" si="15"/>
        <v>4.7662558789600684E-3</v>
      </c>
      <c r="U223" s="204">
        <v>244.22782897949219</v>
      </c>
      <c r="V223" s="207">
        <f t="shared" si="16"/>
        <v>9.664845986782078E-3</v>
      </c>
      <c r="X223" s="204">
        <v>457.3094482421875</v>
      </c>
      <c r="Y223" s="207">
        <f t="shared" si="17"/>
        <v>-1.2857586853696645E-2</v>
      </c>
      <c r="AA223" s="204">
        <v>1106.890258789062</v>
      </c>
      <c r="AB223" s="207">
        <f t="shared" si="18"/>
        <v>8.2833026729667303E-3</v>
      </c>
      <c r="AC223" s="200"/>
    </row>
    <row r="224" spans="15:29" x14ac:dyDescent="0.3">
      <c r="O224" s="199"/>
      <c r="P224" s="202">
        <v>45846</v>
      </c>
      <c r="R224" s="204">
        <v>25522.5</v>
      </c>
      <c r="S224" s="207">
        <f t="shared" si="15"/>
        <v>1.8213302403609077E-3</v>
      </c>
      <c r="U224" s="204">
        <v>240.29829406738281</v>
      </c>
      <c r="V224" s="207">
        <f t="shared" si="16"/>
        <v>-1.6089627986003774E-2</v>
      </c>
      <c r="X224" s="204">
        <v>459.64236450195313</v>
      </c>
      <c r="Y224" s="207">
        <f t="shared" si="17"/>
        <v>5.1013952778209415E-3</v>
      </c>
      <c r="AA224" s="204">
        <v>1102.3935546875</v>
      </c>
      <c r="AB224" s="207">
        <f t="shared" si="18"/>
        <v>-4.0624660537544877E-3</v>
      </c>
      <c r="AC224" s="200"/>
    </row>
    <row r="225" spans="15:29" x14ac:dyDescent="0.3">
      <c r="O225" s="199"/>
      <c r="P225" s="202">
        <v>45845</v>
      </c>
      <c r="R225" s="204">
        <v>25461.30078125</v>
      </c>
      <c r="S225" s="207">
        <f t="shared" si="15"/>
        <v>-2.397853609560241E-3</v>
      </c>
      <c r="U225" s="204">
        <v>243.4319763183594</v>
      </c>
      <c r="V225" s="207">
        <f t="shared" si="16"/>
        <v>1.304080107242811E-2</v>
      </c>
      <c r="X225" s="204">
        <v>462.96810913085938</v>
      </c>
      <c r="Y225" s="207">
        <f t="shared" si="17"/>
        <v>7.2355050050920688E-3</v>
      </c>
      <c r="AA225" s="204">
        <v>1093.00048828125</v>
      </c>
      <c r="AB225" s="207">
        <f t="shared" si="18"/>
        <v>-8.5206107803421638E-3</v>
      </c>
      <c r="AC225" s="200"/>
    </row>
    <row r="226" spans="15:29" x14ac:dyDescent="0.3">
      <c r="O226" s="199"/>
      <c r="P226" s="202">
        <v>45842</v>
      </c>
      <c r="R226" s="204">
        <v>25461</v>
      </c>
      <c r="S226" s="207">
        <f t="shared" si="15"/>
        <v>-1.1813271151517313E-5</v>
      </c>
      <c r="U226" s="204">
        <v>251.5894775390625</v>
      </c>
      <c r="V226" s="207">
        <f t="shared" si="16"/>
        <v>3.3510393104785763E-2</v>
      </c>
      <c r="X226" s="204">
        <v>471.40646362304688</v>
      </c>
      <c r="Y226" s="207">
        <f t="shared" si="17"/>
        <v>1.8226643100815343E-2</v>
      </c>
      <c r="AA226" s="204">
        <v>1097.796875</v>
      </c>
      <c r="AB226" s="207">
        <f t="shared" si="18"/>
        <v>4.3882750009494043E-3</v>
      </c>
      <c r="AC226" s="200"/>
    </row>
    <row r="227" spans="15:29" x14ac:dyDescent="0.3">
      <c r="O227" s="199"/>
      <c r="P227" s="202">
        <v>45841</v>
      </c>
      <c r="R227" s="204">
        <v>25405.30078125</v>
      </c>
      <c r="S227" s="207">
        <f t="shared" si="15"/>
        <v>-2.1876288735713789E-3</v>
      </c>
      <c r="U227" s="204">
        <v>248.65476989746091</v>
      </c>
      <c r="V227" s="207">
        <f t="shared" si="16"/>
        <v>-1.1664667657437899E-2</v>
      </c>
      <c r="X227" s="204">
        <v>471.05899047851563</v>
      </c>
      <c r="Y227" s="207">
        <f t="shared" si="17"/>
        <v>-7.3709881247852049E-4</v>
      </c>
      <c r="AA227" s="204">
        <v>1098.596313476562</v>
      </c>
      <c r="AB227" s="207">
        <f t="shared" si="18"/>
        <v>7.2822076175249606E-4</v>
      </c>
      <c r="AC227" s="200"/>
    </row>
    <row r="228" spans="15:29" x14ac:dyDescent="0.3">
      <c r="O228" s="199"/>
      <c r="P228" s="202">
        <v>45840</v>
      </c>
      <c r="R228" s="204">
        <v>25453.400390625</v>
      </c>
      <c r="S228" s="207">
        <f t="shared" si="15"/>
        <v>1.8932902935948626E-3</v>
      </c>
      <c r="U228" s="204">
        <v>251.1915588378906</v>
      </c>
      <c r="V228" s="207">
        <f t="shared" si="16"/>
        <v>1.0202052192587407E-2</v>
      </c>
      <c r="X228" s="204">
        <v>469.02386474609381</v>
      </c>
      <c r="Y228" s="207">
        <f t="shared" si="17"/>
        <v>-4.3203203283616043E-3</v>
      </c>
      <c r="AA228" s="204">
        <v>1097.796875</v>
      </c>
      <c r="AB228" s="207">
        <f t="shared" si="18"/>
        <v>-7.276908421731676E-4</v>
      </c>
      <c r="AC228" s="200"/>
    </row>
    <row r="229" spans="15:29" x14ac:dyDescent="0.3">
      <c r="O229" s="199"/>
      <c r="P229" s="202">
        <v>45839</v>
      </c>
      <c r="R229" s="204">
        <v>25541.80078125</v>
      </c>
      <c r="S229" s="207">
        <f t="shared" si="15"/>
        <v>3.4730287218347478E-3</v>
      </c>
      <c r="U229" s="204">
        <v>259.84649658203119</v>
      </c>
      <c r="V229" s="207">
        <f t="shared" si="16"/>
        <v>3.4455527821801279E-2</v>
      </c>
      <c r="X229" s="204">
        <v>471.35678100585938</v>
      </c>
      <c r="Y229" s="207">
        <f t="shared" si="17"/>
        <v>4.9739819977572264E-3</v>
      </c>
      <c r="AA229" s="204">
        <v>1078.511108398438</v>
      </c>
      <c r="AB229" s="207">
        <f t="shared" si="18"/>
        <v>-1.7567700401371678E-2</v>
      </c>
      <c r="AC229" s="200"/>
    </row>
    <row r="230" spans="15:29" x14ac:dyDescent="0.3">
      <c r="O230" s="199"/>
      <c r="P230" s="202">
        <v>45838</v>
      </c>
      <c r="R230" s="204">
        <v>25517.05078125</v>
      </c>
      <c r="S230" s="207">
        <f t="shared" si="15"/>
        <v>-9.6899980592479729E-4</v>
      </c>
      <c r="U230" s="204">
        <v>272.58013916015619</v>
      </c>
      <c r="V230" s="207">
        <f t="shared" si="16"/>
        <v>4.9004480512998105E-2</v>
      </c>
      <c r="X230" s="204">
        <v>478.80242919921881</v>
      </c>
      <c r="Y230" s="207">
        <f t="shared" si="17"/>
        <v>1.5796204686969073E-2</v>
      </c>
      <c r="AA230" s="204">
        <v>1103.492797851562</v>
      </c>
      <c r="AB230" s="207">
        <f t="shared" si="18"/>
        <v>2.316312670179288E-2</v>
      </c>
      <c r="AC230" s="200"/>
    </row>
    <row r="231" spans="15:29" x14ac:dyDescent="0.3">
      <c r="O231" s="199"/>
      <c r="P231" s="202">
        <v>45835</v>
      </c>
      <c r="R231" s="204">
        <v>25637.80078125</v>
      </c>
      <c r="S231" s="207">
        <f t="shared" si="15"/>
        <v>4.7321299406877237E-3</v>
      </c>
      <c r="U231" s="204">
        <v>272.79901123046881</v>
      </c>
      <c r="V231" s="207">
        <f t="shared" si="16"/>
        <v>8.0296411538638424E-4</v>
      </c>
      <c r="X231" s="204">
        <v>470.51300048828119</v>
      </c>
      <c r="Y231" s="207">
        <f t="shared" si="17"/>
        <v>-1.7312837624490318E-2</v>
      </c>
      <c r="AA231" s="204">
        <v>1108.98876953125</v>
      </c>
      <c r="AB231" s="207">
        <f t="shared" si="18"/>
        <v>4.9805233802959759E-3</v>
      </c>
      <c r="AC231" s="200"/>
    </row>
    <row r="232" spans="15:29" x14ac:dyDescent="0.3">
      <c r="O232" s="199"/>
      <c r="P232" s="202">
        <v>45834</v>
      </c>
      <c r="R232" s="204">
        <v>25549</v>
      </c>
      <c r="S232" s="207">
        <f t="shared" si="15"/>
        <v>-3.4636660924108886E-3</v>
      </c>
      <c r="U232" s="204">
        <v>271.55548095703119</v>
      </c>
      <c r="V232" s="207">
        <f t="shared" si="16"/>
        <v>-4.5584119525530209E-3</v>
      </c>
      <c r="X232" s="204">
        <v>458.79855346679688</v>
      </c>
      <c r="Y232" s="207">
        <f t="shared" si="17"/>
        <v>-2.4897180331526436E-2</v>
      </c>
      <c r="AA232" s="204">
        <v>1079.909912109375</v>
      </c>
      <c r="AB232" s="207">
        <f t="shared" si="18"/>
        <v>-2.6221056714727742E-2</v>
      </c>
      <c r="AC232" s="200"/>
    </row>
    <row r="233" spans="15:29" x14ac:dyDescent="0.3">
      <c r="O233" s="199"/>
      <c r="P233" s="202">
        <v>45833</v>
      </c>
      <c r="R233" s="204">
        <v>25244.75</v>
      </c>
      <c r="S233" s="207">
        <f t="shared" si="15"/>
        <v>-1.1908489569063319E-2</v>
      </c>
      <c r="U233" s="204">
        <v>271.18740844726563</v>
      </c>
      <c r="V233" s="207">
        <f t="shared" si="16"/>
        <v>-1.3554228714823813E-3</v>
      </c>
      <c r="X233" s="204">
        <v>461.13150024414063</v>
      </c>
      <c r="Y233" s="207">
        <f t="shared" si="17"/>
        <v>5.0849043871552535E-3</v>
      </c>
      <c r="AA233" s="204">
        <v>1071.915771484375</v>
      </c>
      <c r="AB233" s="207">
        <f t="shared" si="18"/>
        <v>-7.4025995459057192E-3</v>
      </c>
      <c r="AC233" s="200"/>
    </row>
    <row r="234" spans="15:29" x14ac:dyDescent="0.3">
      <c r="O234" s="199"/>
      <c r="P234" s="202">
        <v>45832</v>
      </c>
      <c r="R234" s="204">
        <v>25044.349609375</v>
      </c>
      <c r="S234" s="207">
        <f t="shared" si="15"/>
        <v>-7.9382996712187293E-3</v>
      </c>
      <c r="U234" s="204">
        <v>263.99484252929688</v>
      </c>
      <c r="V234" s="207">
        <f t="shared" si="16"/>
        <v>-2.6522492173036816E-2</v>
      </c>
      <c r="X234" s="204">
        <v>436.80917358398438</v>
      </c>
      <c r="Y234" s="207">
        <f t="shared" si="17"/>
        <v>-5.2744882202319876E-2</v>
      </c>
      <c r="AA234" s="204">
        <v>1051.330932617188</v>
      </c>
      <c r="AB234" s="207">
        <f t="shared" si="18"/>
        <v>-1.9203783930412222E-2</v>
      </c>
      <c r="AC234" s="200"/>
    </row>
    <row r="235" spans="15:29" x14ac:dyDescent="0.3">
      <c r="O235" s="199"/>
      <c r="P235" s="202">
        <v>45831</v>
      </c>
      <c r="R235" s="204">
        <v>24971.900390625</v>
      </c>
      <c r="S235" s="207">
        <f t="shared" si="15"/>
        <v>-2.8928369025355005E-3</v>
      </c>
      <c r="U235" s="204">
        <v>255.59858703613281</v>
      </c>
      <c r="V235" s="207">
        <f t="shared" si="16"/>
        <v>-3.1804619411200385E-2</v>
      </c>
      <c r="X235" s="204">
        <v>433.8309326171875</v>
      </c>
      <c r="Y235" s="207">
        <f t="shared" si="17"/>
        <v>-6.8181740377855071E-3</v>
      </c>
      <c r="AA235" s="204">
        <v>1055.22802734375</v>
      </c>
      <c r="AB235" s="207">
        <f t="shared" si="18"/>
        <v>3.7068201892058728E-3</v>
      </c>
      <c r="AC235" s="200"/>
    </row>
    <row r="236" spans="15:29" x14ac:dyDescent="0.3">
      <c r="O236" s="199"/>
      <c r="P236" s="202">
        <v>45828</v>
      </c>
      <c r="R236" s="204">
        <v>25112.400390625</v>
      </c>
      <c r="S236" s="207">
        <f t="shared" si="15"/>
        <v>5.6263239001523857E-3</v>
      </c>
      <c r="U236" s="204">
        <v>256.48397827148438</v>
      </c>
      <c r="V236" s="207">
        <f t="shared" si="16"/>
        <v>3.4639911183327321E-3</v>
      </c>
      <c r="X236" s="204">
        <v>441.02838134765619</v>
      </c>
      <c r="Y236" s="207">
        <f t="shared" si="17"/>
        <v>1.659044616078531E-2</v>
      </c>
      <c r="AA236" s="204">
        <v>1060.823974609375</v>
      </c>
      <c r="AB236" s="207">
        <f t="shared" si="18"/>
        <v>5.3030692140647595E-3</v>
      </c>
      <c r="AC236" s="200"/>
    </row>
    <row r="237" spans="15:29" x14ac:dyDescent="0.3">
      <c r="O237" s="199"/>
      <c r="P237" s="202">
        <v>45827</v>
      </c>
      <c r="R237" s="204">
        <v>24793.25</v>
      </c>
      <c r="S237" s="207">
        <f t="shared" si="15"/>
        <v>-1.2708876318495821E-2</v>
      </c>
      <c r="U237" s="204">
        <v>259.86636352539063</v>
      </c>
      <c r="V237" s="207">
        <f t="shared" si="16"/>
        <v>1.3187510879631104E-2</v>
      </c>
      <c r="X237" s="204">
        <v>443.85769653320313</v>
      </c>
      <c r="Y237" s="207">
        <f t="shared" si="17"/>
        <v>6.4152678267583862E-3</v>
      </c>
      <c r="AA237" s="204">
        <v>1036.541748046875</v>
      </c>
      <c r="AB237" s="207">
        <f t="shared" si="18"/>
        <v>-2.2889967745536088E-2</v>
      </c>
      <c r="AC237" s="200"/>
    </row>
    <row r="238" spans="15:29" x14ac:dyDescent="0.3">
      <c r="O238" s="199"/>
      <c r="P238" s="202">
        <v>45826</v>
      </c>
      <c r="R238" s="204">
        <v>24812.05078125</v>
      </c>
      <c r="S238" s="207">
        <f t="shared" si="15"/>
        <v>7.5830241093854944E-4</v>
      </c>
      <c r="U238" s="204">
        <v>264.1341552734375</v>
      </c>
      <c r="V238" s="207">
        <f t="shared" si="16"/>
        <v>1.6423024858428281E-2</v>
      </c>
      <c r="X238" s="204">
        <v>456.26702880859381</v>
      </c>
      <c r="Y238" s="207">
        <f t="shared" si="17"/>
        <v>2.7957907167804219E-2</v>
      </c>
      <c r="AA238" s="204">
        <v>1062.822509765625</v>
      </c>
      <c r="AB238" s="207">
        <f t="shared" si="18"/>
        <v>2.535427228885867E-2</v>
      </c>
      <c r="AC238" s="200"/>
    </row>
    <row r="239" spans="15:29" x14ac:dyDescent="0.3">
      <c r="O239" s="199"/>
      <c r="P239" s="202">
        <v>45825</v>
      </c>
      <c r="R239" s="204">
        <v>24853.400390625</v>
      </c>
      <c r="S239" s="207">
        <f t="shared" si="15"/>
        <v>1.6665131689255208E-3</v>
      </c>
      <c r="U239" s="204">
        <v>256.80233764648438</v>
      </c>
      <c r="V239" s="207">
        <f t="shared" si="16"/>
        <v>-2.7757930886912585E-2</v>
      </c>
      <c r="X239" s="204">
        <v>460.53585815429688</v>
      </c>
      <c r="Y239" s="207">
        <f t="shared" si="17"/>
        <v>9.355989094477879E-3</v>
      </c>
      <c r="AA239" s="204">
        <v>1048.732788085938</v>
      </c>
      <c r="AB239" s="207">
        <f t="shared" si="18"/>
        <v>-1.3256890544023348E-2</v>
      </c>
      <c r="AC239" s="200"/>
    </row>
    <row r="240" spans="15:29" x14ac:dyDescent="0.3">
      <c r="O240" s="199"/>
      <c r="P240" s="202">
        <v>45824</v>
      </c>
      <c r="R240" s="204">
        <v>24946.5</v>
      </c>
      <c r="S240" s="207">
        <f t="shared" si="15"/>
        <v>3.7459505706156637E-3</v>
      </c>
      <c r="U240" s="204">
        <v>241.96958923339841</v>
      </c>
      <c r="V240" s="207">
        <f t="shared" si="16"/>
        <v>-5.7759397944051494E-2</v>
      </c>
      <c r="X240" s="204">
        <v>452.24639892578119</v>
      </c>
      <c r="Y240" s="207">
        <f t="shared" si="17"/>
        <v>-1.7999595648724442E-2</v>
      </c>
      <c r="AA240" s="204">
        <v>1055.128173828125</v>
      </c>
      <c r="AB240" s="207">
        <f t="shared" si="18"/>
        <v>6.0982032933856178E-3</v>
      </c>
      <c r="AC240" s="200"/>
    </row>
    <row r="241" spans="15:29" x14ac:dyDescent="0.3">
      <c r="O241" s="199"/>
      <c r="P241" s="202">
        <v>45821</v>
      </c>
      <c r="R241" s="204">
        <v>24718.599609375</v>
      </c>
      <c r="S241" s="207">
        <f t="shared" si="15"/>
        <v>-9.1355657356743114E-3</v>
      </c>
      <c r="U241" s="204">
        <v>247.06306457519531</v>
      </c>
      <c r="V241" s="207">
        <f t="shared" si="16"/>
        <v>2.1050064009836555E-2</v>
      </c>
      <c r="X241" s="204">
        <v>453.93408203125</v>
      </c>
      <c r="Y241" s="207">
        <f t="shared" si="17"/>
        <v>3.7317778747991692E-3</v>
      </c>
      <c r="AA241" s="204">
        <v>1062.123046875</v>
      </c>
      <c r="AB241" s="207">
        <f t="shared" si="18"/>
        <v>6.6294060005021027E-3</v>
      </c>
      <c r="AC241" s="200"/>
    </row>
    <row r="242" spans="15:29" x14ac:dyDescent="0.3">
      <c r="O242" s="199"/>
      <c r="P242" s="202">
        <v>45820</v>
      </c>
      <c r="R242" s="204">
        <v>24888.19921875</v>
      </c>
      <c r="S242" s="207">
        <f t="shared" si="15"/>
        <v>6.861214310485364E-3</v>
      </c>
      <c r="U242" s="204">
        <v>240.83549499511719</v>
      </c>
      <c r="V242" s="207">
        <f t="shared" si="16"/>
        <v>-2.5206396556223032E-2</v>
      </c>
      <c r="X242" s="204">
        <v>458.30215454101563</v>
      </c>
      <c r="Y242" s="207">
        <f t="shared" si="17"/>
        <v>9.622702243945902E-3</v>
      </c>
      <c r="AA242" s="204">
        <v>1073.214965820312</v>
      </c>
      <c r="AB242" s="207">
        <f t="shared" si="18"/>
        <v>1.0443158142502407E-2</v>
      </c>
      <c r="AC242" s="200"/>
    </row>
    <row r="243" spans="15:29" x14ac:dyDescent="0.3">
      <c r="O243" s="199"/>
      <c r="P243" s="202">
        <v>45819</v>
      </c>
      <c r="R243" s="204">
        <v>25141.400390625</v>
      </c>
      <c r="S243" s="207">
        <f t="shared" si="15"/>
        <v>1.0173543278464425E-2</v>
      </c>
      <c r="U243" s="204">
        <v>247.01332092285159</v>
      </c>
      <c r="V243" s="207">
        <f t="shared" si="16"/>
        <v>2.5651642121356177E-2</v>
      </c>
      <c r="X243" s="204">
        <v>471.5057373046875</v>
      </c>
      <c r="Y243" s="207">
        <f t="shared" si="17"/>
        <v>2.8809776765930994E-2</v>
      </c>
      <c r="AA243" s="204">
        <v>1103.192993164062</v>
      </c>
      <c r="AB243" s="207">
        <f t="shared" si="18"/>
        <v>2.7932919590658356E-2</v>
      </c>
      <c r="AC243" s="200"/>
    </row>
    <row r="244" spans="15:29" x14ac:dyDescent="0.3">
      <c r="O244" s="199"/>
      <c r="P244" s="202">
        <v>45818</v>
      </c>
      <c r="R244" s="204">
        <v>25104.25</v>
      </c>
      <c r="S244" s="207">
        <f t="shared" si="15"/>
        <v>-1.4776579684421254E-3</v>
      </c>
      <c r="U244" s="204">
        <v>253.65869140625</v>
      </c>
      <c r="V244" s="207">
        <f t="shared" si="16"/>
        <v>2.690288304521804E-2</v>
      </c>
      <c r="X244" s="204">
        <v>472.548095703125</v>
      </c>
      <c r="Y244" s="207">
        <f t="shared" si="17"/>
        <v>2.2107014103285305E-3</v>
      </c>
      <c r="AA244" s="204">
        <v>1095.79833984375</v>
      </c>
      <c r="AB244" s="207">
        <f t="shared" si="18"/>
        <v>-6.7029552998731923E-3</v>
      </c>
      <c r="AC244" s="200"/>
    </row>
    <row r="245" spans="15:29" x14ac:dyDescent="0.3">
      <c r="O245" s="199"/>
      <c r="P245" s="202">
        <v>45817</v>
      </c>
      <c r="R245" s="204">
        <v>25103.19921875</v>
      </c>
      <c r="S245" s="207">
        <f t="shared" si="15"/>
        <v>-4.1856707529652759E-5</v>
      </c>
      <c r="U245" s="204">
        <v>248.7940368652344</v>
      </c>
      <c r="V245" s="207">
        <f t="shared" si="16"/>
        <v>-1.9177953312171536E-2</v>
      </c>
      <c r="X245" s="204">
        <v>466.14486694335938</v>
      </c>
      <c r="Y245" s="207">
        <f t="shared" si="17"/>
        <v>-1.3550427603010395E-2</v>
      </c>
      <c r="AA245" s="204">
        <v>1092.201049804688</v>
      </c>
      <c r="AB245" s="207">
        <f t="shared" si="18"/>
        <v>-3.2828029649826229E-3</v>
      </c>
      <c r="AC245" s="200"/>
    </row>
    <row r="246" spans="15:29" x14ac:dyDescent="0.3">
      <c r="O246" s="199"/>
      <c r="P246" s="202">
        <v>45814</v>
      </c>
      <c r="R246" s="204">
        <v>25003.05078125</v>
      </c>
      <c r="S246" s="207">
        <f t="shared" si="15"/>
        <v>-3.989469096241649E-3</v>
      </c>
      <c r="U246" s="204">
        <v>242.19841003417969</v>
      </c>
      <c r="V246" s="207">
        <f t="shared" si="16"/>
        <v>-2.6510389534084355E-2</v>
      </c>
      <c r="X246" s="204">
        <v>474.23580932617188</v>
      </c>
      <c r="Y246" s="207">
        <f t="shared" si="17"/>
        <v>1.7357141430875522E-2</v>
      </c>
      <c r="AA246" s="204">
        <v>1088.70361328125</v>
      </c>
      <c r="AB246" s="207">
        <f t="shared" si="18"/>
        <v>-3.2021911387682955E-3</v>
      </c>
      <c r="AC246" s="200"/>
    </row>
    <row r="247" spans="15:29" x14ac:dyDescent="0.3">
      <c r="O247" s="199"/>
      <c r="P247" s="202">
        <v>45813</v>
      </c>
      <c r="R247" s="204">
        <v>24750.900390625</v>
      </c>
      <c r="S247" s="207">
        <f t="shared" si="15"/>
        <v>-1.0084784966084559E-2</v>
      </c>
      <c r="U247" s="204">
        <v>240.78575134277341</v>
      </c>
      <c r="V247" s="207">
        <f t="shared" si="16"/>
        <v>-5.8326505578913945E-3</v>
      </c>
      <c r="X247" s="204">
        <v>467.83258056640619</v>
      </c>
      <c r="Y247" s="207">
        <f t="shared" si="17"/>
        <v>-1.3502204249113636E-2</v>
      </c>
      <c r="AA247" s="204">
        <v>1072.11572265625</v>
      </c>
      <c r="AB247" s="207">
        <f t="shared" si="18"/>
        <v>-1.5236369589153531E-2</v>
      </c>
      <c r="AC247" s="200"/>
    </row>
    <row r="248" spans="15:29" x14ac:dyDescent="0.3">
      <c r="O248" s="199"/>
      <c r="P248" s="202">
        <v>45812</v>
      </c>
      <c r="R248" s="204">
        <v>24620.19921875</v>
      </c>
      <c r="S248" s="207">
        <f t="shared" si="15"/>
        <v>-5.280663321828305E-3</v>
      </c>
      <c r="U248" s="204">
        <v>245.01373291015619</v>
      </c>
      <c r="V248" s="207">
        <f t="shared" si="16"/>
        <v>1.7559101997542959E-2</v>
      </c>
      <c r="X248" s="204">
        <v>430.05850219726563</v>
      </c>
      <c r="Y248" s="207">
        <f t="shared" si="17"/>
        <v>-8.0742727074303744E-2</v>
      </c>
      <c r="AA248" s="204">
        <v>1054.029052734375</v>
      </c>
      <c r="AB248" s="207">
        <f t="shared" si="18"/>
        <v>-1.6870072455484442E-2</v>
      </c>
      <c r="AC248" s="200"/>
    </row>
    <row r="249" spans="15:29" x14ac:dyDescent="0.3">
      <c r="O249" s="199"/>
      <c r="P249" s="202">
        <v>45811</v>
      </c>
      <c r="R249" s="204">
        <v>24542.5</v>
      </c>
      <c r="S249" s="207">
        <f t="shared" si="15"/>
        <v>-3.1559134863062832E-3</v>
      </c>
      <c r="U249" s="204">
        <v>238.83592224121091</v>
      </c>
      <c r="V249" s="207">
        <f t="shared" si="16"/>
        <v>-2.5214140430286025E-2</v>
      </c>
      <c r="X249" s="204">
        <v>416.65640258789063</v>
      </c>
      <c r="Y249" s="207">
        <f t="shared" si="17"/>
        <v>-3.1163433674490038E-2</v>
      </c>
      <c r="AA249" s="204">
        <v>1024.850219726562</v>
      </c>
      <c r="AB249" s="207">
        <f t="shared" si="18"/>
        <v>-2.7683139219091601E-2</v>
      </c>
      <c r="AC249" s="200"/>
    </row>
    <row r="250" spans="15:29" x14ac:dyDescent="0.3">
      <c r="O250" s="199"/>
      <c r="P250" s="202">
        <v>45810</v>
      </c>
      <c r="R250" s="204">
        <v>24716.599609375</v>
      </c>
      <c r="S250" s="207">
        <f t="shared" si="15"/>
        <v>7.093800932056693E-3</v>
      </c>
      <c r="U250" s="204">
        <v>242.3774719238281</v>
      </c>
      <c r="V250" s="207">
        <f t="shared" si="16"/>
        <v>1.4828379455584573E-2</v>
      </c>
      <c r="X250" s="204">
        <v>411.841552734375</v>
      </c>
      <c r="Y250" s="207">
        <f t="shared" si="17"/>
        <v>-1.1555924314639476E-2</v>
      </c>
      <c r="AA250" s="204">
        <v>1017.755493164062</v>
      </c>
      <c r="AB250" s="207">
        <f t="shared" si="18"/>
        <v>-6.9226960446893138E-3</v>
      </c>
      <c r="AC250" s="200"/>
    </row>
    <row r="251" spans="15:29" x14ac:dyDescent="0.3">
      <c r="O251" s="199"/>
      <c r="P251" s="202"/>
      <c r="R251" s="204"/>
      <c r="S251" s="207"/>
      <c r="U251" s="204"/>
      <c r="V251" s="207"/>
      <c r="X251" s="204"/>
      <c r="Y251" s="207"/>
      <c r="AA251" s="204"/>
      <c r="AB251" s="207"/>
      <c r="AC251" s="200"/>
    </row>
    <row r="252" spans="15:29" x14ac:dyDescent="0.3">
      <c r="O252" s="236"/>
      <c r="P252" s="202"/>
      <c r="R252" s="204"/>
      <c r="S252" s="207"/>
      <c r="U252" s="204"/>
      <c r="V252" s="207"/>
      <c r="X252" s="204"/>
      <c r="Y252" s="207"/>
      <c r="AA252" s="204"/>
      <c r="AB252" s="207"/>
      <c r="AC252" s="200"/>
    </row>
    <row r="253" spans="15:29" x14ac:dyDescent="0.3">
      <c r="O253" s="237" t="s">
        <v>73</v>
      </c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4"/>
    </row>
  </sheetData>
  <mergeCells count="4">
    <mergeCell ref="R4:S4"/>
    <mergeCell ref="U4:V4"/>
    <mergeCell ref="X4:Y4"/>
    <mergeCell ref="AA4:A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Valuation Summary</vt:lpstr>
      <vt:lpstr>Assumptions</vt:lpstr>
      <vt:lpstr>Scenario Assumptions</vt:lpstr>
      <vt:lpstr>Asset Schedule</vt:lpstr>
      <vt:lpstr>Debt Schedule</vt:lpstr>
      <vt:lpstr>IS</vt:lpstr>
      <vt:lpstr>BS</vt:lpstr>
      <vt:lpstr>CF</vt:lpstr>
      <vt:lpstr>Valuation</vt:lpstr>
      <vt:lpstr>Ratios</vt:lpstr>
      <vt:lpstr>Beta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Yadav</cp:lastModifiedBy>
  <dcterms:created xsi:type="dcterms:W3CDTF">2026-05-25T17:59:00Z</dcterms:created>
  <dcterms:modified xsi:type="dcterms:W3CDTF">2026-06-14T18:32:04Z</dcterms:modified>
</cp:coreProperties>
</file>